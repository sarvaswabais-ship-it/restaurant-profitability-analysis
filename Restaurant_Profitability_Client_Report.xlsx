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KPI &amp; Target Gap" sheetId="2" state="visible" r:id="rId2"/>
    <sheet xmlns:r="http://schemas.openxmlformats.org/officeDocument/2006/relationships" name="Monthly Profitability" sheetId="3" state="visible" r:id="rId3"/>
    <sheet xmlns:r="http://schemas.openxmlformats.org/officeDocument/2006/relationships" name="Category Profitability" sheetId="4" state="visible" r:id="rId4"/>
    <sheet xmlns:r="http://schemas.openxmlformats.org/officeDocument/2006/relationships" name="Product Opportunities" sheetId="5" state="visible" r:id="rId5"/>
    <sheet xmlns:r="http://schemas.openxmlformats.org/officeDocument/2006/relationships" name="Delivery Analysis" sheetId="6" state="visible" r:id="rId6"/>
    <sheet xmlns:r="http://schemas.openxmlformats.org/officeDocument/2006/relationships" name="Findings &amp; Recommendations" sheetId="7" state="visible" r:id="rId7"/>
    <sheet xmlns:r="http://schemas.openxmlformats.org/officeDocument/2006/relationships" name="Data Quality &amp; Limits" sheetId="8" state="visible" r:id="rId8"/>
  </sheets>
  <definedNames/>
  <calcPr calcId="124519" fullCalcOnLoad="1"/>
</workbook>
</file>

<file path=xl/styles.xml><?xml version="1.0" encoding="utf-8"?>
<styleSheet xmlns="http://schemas.openxmlformats.org/spreadsheetml/2006/main">
  <numFmts count="2">
    <numFmt numFmtId="164" formatCode="₹#,##0.00"/>
    <numFmt numFmtId="165" formatCode="0.00&quot;%&quot;"/>
  </numFmts>
  <fonts count="10">
    <font>
      <name val="Calibri"/>
      <family val="2"/>
      <color theme="1"/>
      <sz val="11"/>
      <scheme val="minor"/>
    </font>
    <font>
      <b val="1"/>
      <color rgb="00FFFFFF"/>
      <sz val="18"/>
    </font>
    <font>
      <i val="1"/>
      <color rgb="00666666"/>
    </font>
    <font>
      <b val="1"/>
      <color rgb="00666666"/>
    </font>
    <font>
      <b val="1"/>
      <color rgb="00FFFFFF"/>
      <sz val="12"/>
    </font>
    <font>
      <b val="1"/>
      <color rgb="001F4E78"/>
      <sz val="14"/>
    </font>
    <font>
      <b val="1"/>
      <color rgb="001F4E78"/>
    </font>
    <font>
      <b val="1"/>
      <color rgb="00FFFFFF"/>
    </font>
    <font>
      <b val="1"/>
      <color rgb="00C00000"/>
    </font>
    <font>
      <b val="1"/>
      <color rgb="00ED7D31"/>
    </font>
  </fonts>
  <fills count="6">
    <fill>
      <patternFill/>
    </fill>
    <fill>
      <patternFill patternType="gray125"/>
    </fill>
    <fill>
      <patternFill patternType="solid">
        <fgColor rgb="001F4E78"/>
      </patternFill>
    </fill>
    <fill>
      <patternFill patternType="solid">
        <fgColor rgb="005B9BD5"/>
      </patternFill>
    </fill>
    <fill>
      <patternFill patternType="solid">
        <fgColor rgb="00D9EAF7"/>
      </patternFill>
    </fill>
    <fill>
      <patternFill patternType="solid">
        <fgColor rgb="00FCE4D6"/>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0" fillId="0" borderId="0" applyAlignment="1" pivotButton="0" quotePrefix="0" xfId="0">
      <alignment wrapText="1"/>
    </xf>
    <xf numFmtId="0" fontId="4" fillId="3" borderId="0" applyAlignment="1" pivotButton="0" quotePrefix="0" xfId="0">
      <alignment vertical="center"/>
    </xf>
    <xf numFmtId="164" fontId="5" fillId="0" borderId="0" pivotButton="0" quotePrefix="0" xfId="0"/>
    <xf numFmtId="10" fontId="5" fillId="0" borderId="0" pivotButton="0" quotePrefix="0" xfId="0"/>
    <xf numFmtId="0" fontId="6" fillId="0" borderId="0"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7" fillId="2" borderId="1" applyAlignment="1" pivotButton="0" quotePrefix="0" xfId="0">
      <alignment vertical="center" wrapText="1"/>
    </xf>
    <xf numFmtId="0" fontId="7" fillId="2" borderId="1" applyAlignment="1" pivotButton="0" quotePrefix="0" xfId="0">
      <alignment horizontal="center" vertical="center" wrapText="1"/>
    </xf>
    <xf numFmtId="0" fontId="0" fillId="0" borderId="1" applyAlignment="1" pivotButton="0" quotePrefix="0" xfId="0">
      <alignment vertical="center" wrapText="1"/>
    </xf>
    <xf numFmtId="164" fontId="0" fillId="0" borderId="1" applyAlignment="1" pivotButton="0" quotePrefix="0" xfId="0">
      <alignment vertical="center" wrapText="1"/>
    </xf>
    <xf numFmtId="10" fontId="0" fillId="0" borderId="1" applyAlignment="1" pivotButton="0" quotePrefix="0" xfId="0">
      <alignment vertical="center" wrapText="1"/>
    </xf>
    <xf numFmtId="0" fontId="7" fillId="3" borderId="0" pivotButton="0" quotePrefix="0" xfId="0"/>
    <xf numFmtId="0" fontId="0" fillId="5" borderId="0" applyAlignment="1" pivotButton="0" quotePrefix="0" xfId="0">
      <alignment vertical="top" wrapText="1"/>
    </xf>
    <xf numFmtId="165" fontId="0" fillId="0" borderId="1" applyAlignment="1" pivotButton="0" quotePrefix="0" xfId="0">
      <alignment vertical="center" wrapText="1"/>
    </xf>
    <xf numFmtId="0" fontId="0" fillId="5" borderId="1" applyAlignment="1" pivotButton="0" quotePrefix="0" xfId="0">
      <alignment vertical="top" wrapText="1"/>
    </xf>
    <xf numFmtId="164" fontId="0" fillId="0" borderId="0" pivotButton="0" quotePrefix="0" xfId="0"/>
    <xf numFmtId="0" fontId="8" fillId="0" borderId="1" applyAlignment="1" pivotButton="0" quotePrefix="0" xfId="0">
      <alignment vertical="center" wrapText="1"/>
    </xf>
    <xf numFmtId="0" fontId="9"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Monthly Revenue</a:t>
            </a:r>
          </a:p>
        </rich>
      </tx>
    </title>
    <plotArea>
      <lineChart>
        <grouping val="standard"/>
        <ser>
          <idx val="0"/>
          <order val="0"/>
          <tx>
            <strRef>
              <f>'Monthly Profitability'!B3</f>
            </strRef>
          </tx>
          <spPr>
            <a:ln xmlns:a="http://schemas.openxmlformats.org/drawingml/2006/main">
              <a:prstDash val="solid"/>
            </a:ln>
          </spPr>
          <marker>
            <symbol val="none"/>
            <spPr>
              <a:ln xmlns:a="http://schemas.openxmlformats.org/drawingml/2006/main">
                <a:prstDash val="solid"/>
              </a:ln>
            </spPr>
          </marker>
          <cat>
            <numRef>
              <f>'Monthly Profitability'!$A$4:$A$27</f>
            </numRef>
          </cat>
          <val>
            <numRef>
              <f>'Monthly Profitability'!$B$4:$B$27</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Monthly Profit Margin</a:t>
            </a:r>
          </a:p>
        </rich>
      </tx>
    </title>
    <plotArea>
      <lineChart>
        <grouping val="standard"/>
        <ser>
          <idx val="0"/>
          <order val="0"/>
          <tx>
            <strRef>
              <f>'Monthly Profitability'!F3</f>
            </strRef>
          </tx>
          <spPr>
            <a:ln xmlns:a="http://schemas.openxmlformats.org/drawingml/2006/main">
              <a:prstDash val="solid"/>
            </a:ln>
          </spPr>
          <marker>
            <symbol val="none"/>
            <spPr>
              <a:ln xmlns:a="http://schemas.openxmlformats.org/drawingml/2006/main">
                <a:prstDash val="solid"/>
              </a:ln>
            </spPr>
          </marker>
          <cat>
            <numRef>
              <f>'Monthly Profitability'!$A$4:$A$27</f>
            </numRef>
          </cat>
          <val>
            <numRef>
              <f>'Monthly Profitability'!$F$4:$F$27</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Margin %</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Category Revenue vs Profit</a:t>
            </a:r>
          </a:p>
        </rich>
      </tx>
    </title>
    <plotArea>
      <barChart>
        <barDir val="bar"/>
        <grouping val="clustered"/>
        <ser>
          <idx val="0"/>
          <order val="0"/>
          <tx>
            <strRef>
              <f>'Category Profitability'!B3</f>
            </strRef>
          </tx>
          <spPr>
            <a:ln xmlns:a="http://schemas.openxmlformats.org/drawingml/2006/main">
              <a:prstDash val="solid"/>
            </a:ln>
          </spPr>
          <cat>
            <numRef>
              <f>'Category Profitability'!$A$4:$A$10</f>
            </numRef>
          </cat>
          <val>
            <numRef>
              <f>'Category Profitability'!$B$4:$B$10</f>
            </numRef>
          </val>
        </ser>
        <ser>
          <idx val="1"/>
          <order val="1"/>
          <tx>
            <strRef>
              <f>'Category Profitability'!C3</f>
            </strRef>
          </tx>
          <spPr>
            <a:ln xmlns:a="http://schemas.openxmlformats.org/drawingml/2006/main">
              <a:prstDash val="solid"/>
            </a:ln>
          </spPr>
          <cat>
            <numRef>
              <f>'Category Profitability'!$A$4:$A$10</f>
            </numRef>
          </cat>
          <val>
            <numRef>
              <f>'Category Profitability'!$C$4:$C$10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Category</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9</col>
      <colOff>0</colOff>
      <row>2</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17</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8</col>
      <colOff>0</colOff>
      <row>2</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KPIOverall" displayName="KPIOverall" ref="A4:D9" headerRowCount="1">
  <autoFilter ref="A4:D9"/>
  <tableColumns count="4">
    <tableColumn id="1" name="Metric"/>
    <tableColumn id="2" name="Amount"/>
    <tableColumn id="3" name="% of Revenue"/>
    <tableColumn id="4" name="Meaning"/>
  </tableColumns>
  <tableStyleInfo name="TableStyleMedium2" showRowStripes="1" showColumnStripes="0"/>
</table>
</file>

<file path=xl/tables/table2.xml><?xml version="1.0" encoding="utf-8"?>
<table xmlns="http://schemas.openxmlformats.org/spreadsheetml/2006/main" id="2" name="MonthlyProfitability" displayName="MonthlyProfitability" ref="A3:H27" headerRowCount="1">
  <autoFilter ref="A3:H27"/>
  <tableColumns count="8">
    <tableColumn id="1" name="Month"/>
    <tableColumn id="2" name="Revenue"/>
    <tableColumn id="3" name="Operating Cost"/>
    <tableColumn id="4" name="Food Cost"/>
    <tableColumn id="5" name="Calculated Profit"/>
    <tableColumn id="6" name="Profit Margin"/>
    <tableColumn id="7" name="Food Cost %"/>
    <tableColumn id="8" name="Discount %"/>
  </tableColumns>
  <tableStyleInfo name="TableStyleMedium2" showRowStripes="1" showColumnStripes="0"/>
</table>
</file>

<file path=xl/tables/table3.xml><?xml version="1.0" encoding="utf-8"?>
<table xmlns="http://schemas.openxmlformats.org/spreadsheetml/2006/main" id="3" name="CategoryProfitability" displayName="CategoryProfitability" ref="A3:G10" headerRowCount="1">
  <autoFilter ref="A3:G10"/>
  <tableColumns count="7">
    <tableColumn id="1" name="Category"/>
    <tableColumn id="2" name="Revenue"/>
    <tableColumn id="3" name="Profit"/>
    <tableColumn id="4" name="Profit Margin"/>
    <tableColumn id="5" name="Revenue Contribution"/>
    <tableColumn id="6" name="Profit Contribution"/>
    <tableColumn id="7" name="Observation"/>
  </tableColumns>
  <tableStyleInfo name="TableStyleMedium2" showRowStripes="1" showColumnStripes="0"/>
</table>
</file>

<file path=xl/tables/table4.xml><?xml version="1.0" encoding="utf-8"?>
<table xmlns="http://schemas.openxmlformats.org/spreadsheetml/2006/main" id="4" name="LowMarginProducts" displayName="LowMarginProducts" ref="A4:H9" headerRowCount="1">
  <autoFilter ref="A4:H9"/>
  <tableColumns count="8">
    <tableColumn id="1" name="Product ID"/>
    <tableColumn id="2" name="Product"/>
    <tableColumn id="3" name="Category"/>
    <tableColumn id="4" name="Quantity"/>
    <tableColumn id="5" name="Revenue"/>
    <tableColumn id="6" name="Profit"/>
    <tableColumn id="7" name="Margin"/>
    <tableColumn id="8" name="Profit Contribution"/>
  </tableColumns>
  <tableStyleInfo name="TableStyleMedium2" showRowStripes="1" showColumnStripes="0"/>
</table>
</file>

<file path=xl/tables/table5.xml><?xml version="1.0" encoding="utf-8"?>
<table xmlns="http://schemas.openxmlformats.org/spreadsheetml/2006/main" id="5" name="ComboProducts" displayName="ComboProducts" ref="A13:H21" headerRowCount="1">
  <autoFilter ref="A13:H21"/>
  <tableColumns count="8">
    <tableColumn id="1" name="Product ID"/>
    <tableColumn id="2" name="Product"/>
    <tableColumn id="3" name="Quantity"/>
    <tableColumn id="4" name="Revenue"/>
    <tableColumn id="5" name="Food Cost"/>
    <tableColumn id="6" name="Profit"/>
    <tableColumn id="7" name="Margin"/>
    <tableColumn id="8" name="Profit Contribution"/>
  </tableColumns>
  <tableStyleInfo name="TableStyleMedium2" showRowStripes="1" showColumnStripes="0"/>
</table>
</file>

<file path=xl/tables/table6.xml><?xml version="1.0" encoding="utf-8"?>
<table xmlns="http://schemas.openxmlformats.org/spreadsheetml/2006/main" id="6" name="DeliveryMonthly" displayName="DeliveryMonthly" ref="A10:G33" headerRowCount="1">
  <autoFilter ref="A10:G33"/>
  <tableColumns count="7">
    <tableColumn id="1" name="Month"/>
    <tableColumn id="2" name="Delivery Fee"/>
    <tableColumn id="3" name="Commission"/>
    <tableColumn id="4" name="Packaging"/>
    <tableColumn id="5" name="Fee / Delivery"/>
    <tableColumn id="6" name="Commission / Delivery"/>
    <tableColumn id="7" name="Packaging / Delivery"/>
  </tableColumns>
  <tableStyleInfo name="TableStyleMedium2" showRowStripes="1" showColumnStripes="0"/>
</table>
</file>

<file path=xl/tables/table7.xml><?xml version="1.0" encoding="utf-8"?>
<table xmlns="http://schemas.openxmlformats.org/spreadsheetml/2006/main" id="7" name="FindingsRecommendations" displayName="FindingsRecommendations" ref="A4:F10" headerRowCount="1">
  <autoFilter ref="A4:F10"/>
  <tableColumns count="6">
    <tableColumn id="1" name="Area"/>
    <tableColumn id="2" name="Evidence"/>
    <tableColumn id="3" name="Finding"/>
    <tableColumn id="4" name="Recommended action"/>
    <tableColumn id="5" name="Priority"/>
    <tableColumn id="6" name="Data needed for deeper action"/>
  </tableColumns>
  <tableStyleInfo name="TableStyleMedium2" showRowStripes="1" showColumnStripes="0"/>
</table>
</file>

<file path=xl/tables/table8.xml><?xml version="1.0" encoding="utf-8"?>
<table xmlns="http://schemas.openxmlformats.org/spreadsheetml/2006/main" id="8" name="DataQuality" displayName="DataQuality" ref="A4:D10" headerRowCount="1">
  <autoFilter ref="A4:D10"/>
  <tableColumns count="4">
    <tableColumn id="1" name="Area"/>
    <tableColumn id="2" name="Observation"/>
    <tableColumn id="3" name="Treatment in analysis"/>
    <tableColumn id="4" name="Impact / limita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3.xml" Id="rId2"/></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H26"/>
  <sheetViews>
    <sheetView showGridLines="0" workbookViewId="0">
      <pane ySplit="3" topLeftCell="A4" activePane="bottomLeft" state="frozen"/>
      <selection pane="bottomLeft" activeCell="A1" sqref="A1"/>
    </sheetView>
  </sheetViews>
  <sheetFormatPr baseColWidth="8" defaultRowHeight="15"/>
  <cols>
    <col width="32" customWidth="1" min="1" max="1"/>
    <col width="36" customWidth="1" min="2" max="2"/>
    <col width="15" customWidth="1" min="3" max="3"/>
    <col width="10" customWidth="1" min="4" max="4"/>
    <col width="20" customWidth="1" min="5" max="5"/>
    <col width="10" customWidth="1" min="6" max="6"/>
    <col width="29" customWidth="1" min="7" max="7"/>
    <col width="10" customWidth="1" min="8" max="8"/>
  </cols>
  <sheetData>
    <row r="1" ht="30" customHeight="1">
      <c r="A1" s="1" t="inlineStr">
        <is>
          <t>Restaurant Profitability &amp; Operations Analytics</t>
        </is>
      </c>
    </row>
    <row r="2"/>
    <row r="3">
      <c r="A3" s="2" t="inlineStr">
        <is>
          <t>Client report</t>
        </is>
      </c>
    </row>
    <row r="4">
      <c r="A4" s="3" t="inlineStr">
        <is>
          <t>Analysis period</t>
        </is>
      </c>
      <c r="B4" s="4" t="inlineStr">
        <is>
          <t>Jan 2025 – Dec 2026</t>
        </is>
      </c>
    </row>
    <row r="5">
      <c r="A5" s="3" t="inlineStr">
        <is>
          <t>Revenue scope</t>
        </is>
      </c>
      <c r="B5" s="4" t="inlineStr">
        <is>
          <t>Completed orders only</t>
        </is>
      </c>
    </row>
    <row r="6">
      <c r="A6" s="3" t="inlineStr">
        <is>
          <t>Profit scope</t>
        </is>
      </c>
      <c r="B6" s="4" t="inlineStr">
        <is>
          <t>Revenue – food cost – operating cost</t>
        </is>
      </c>
    </row>
    <row r="7">
      <c r="A7" s="3" t="inlineStr">
        <is>
          <t>Important scope note</t>
        </is>
      </c>
      <c r="B7" s="4" t="inlineStr">
        <is>
          <t>Delivery fee/commission/packaging are shown separately; their accounting treatment was not established, so they are excluded from the overall profit calculation.</t>
        </is>
      </c>
    </row>
    <row r="8"/>
    <row r="9" ht="22" customHeight="1">
      <c r="A9" s="5" t="inlineStr">
        <is>
          <t>Executive KPI</t>
        </is>
      </c>
    </row>
    <row r="10">
      <c r="A10" s="3" t="inlineStr">
        <is>
          <t>Completed-order revenue</t>
        </is>
      </c>
      <c r="C10" s="3" t="inlineStr">
        <is>
          <t>Food cost</t>
        </is>
      </c>
      <c r="E10" s="3" t="inlineStr">
        <is>
          <t>Operating cost</t>
        </is>
      </c>
      <c r="G10" s="3" t="inlineStr">
        <is>
          <t>Calculated profit</t>
        </is>
      </c>
    </row>
    <row r="11">
      <c r="A11" s="6" t="n">
        <v>96739281.18000001</v>
      </c>
      <c r="C11" s="6" t="n">
        <v>42590580.44</v>
      </c>
      <c r="E11" s="6" t="n">
        <v>36201158.95</v>
      </c>
      <c r="G11" s="6" t="n">
        <v>17947541.79</v>
      </c>
    </row>
    <row r="12">
      <c r="A12" s="3" t="inlineStr">
        <is>
          <t>Calculated margin</t>
        </is>
      </c>
      <c r="C12" s="3" t="inlineStr">
        <is>
          <t>Target margin</t>
        </is>
      </c>
      <c r="E12" s="3" t="inlineStr">
        <is>
          <t>Margin gap</t>
        </is>
      </c>
      <c r="G12" s="3" t="inlineStr">
        <is>
          <t>Required profit improvement</t>
        </is>
      </c>
    </row>
    <row r="13">
      <c r="A13" s="7" t="n">
        <v>0.1855248619907101</v>
      </c>
      <c r="C13" s="7" t="n">
        <v>0.25</v>
      </c>
      <c r="E13" s="7" t="n">
        <v>0.0644751380092899</v>
      </c>
      <c r="G13" s="6" t="n">
        <v>6237278.505</v>
      </c>
    </row>
    <row r="14"/>
    <row r="15" ht="22" customHeight="1">
      <c r="A15" s="5" t="inlineStr">
        <is>
          <t>Key Findings</t>
        </is>
      </c>
    </row>
    <row r="16" ht="32" customHeight="1">
      <c r="A16" s="8" t="inlineStr">
        <is>
          <t>1.</t>
        </is>
      </c>
      <c r="B16" s="9" t="inlineStr">
        <is>
          <t>Revenue increased across the period, but profitability remained volatile rather than showing a single continuous decline.</t>
        </is>
      </c>
    </row>
    <row r="17" ht="32" customHeight="1">
      <c r="A17" s="8" t="inlineStr">
        <is>
          <t>2.</t>
        </is>
      </c>
      <c r="B17" s="9" t="inlineStr">
        <is>
          <t>Current calculated margin is 18.55% versus the 25% target; total food + operating cost burden is 81.45% of revenue.</t>
        </is>
      </c>
    </row>
    <row r="18" ht="32" customHeight="1">
      <c r="A18" s="8" t="inlineStr">
        <is>
          <t>3.</t>
        </is>
      </c>
      <c r="B18" s="9" t="inlineStr">
        <is>
          <t>Food cost is about 44.03% of revenue and remained broadly stable as a percentage of revenue across months.</t>
        </is>
      </c>
    </row>
    <row r="19" ht="32" customHeight="1">
      <c r="A19" s="8" t="inlineStr">
        <is>
          <t>4.</t>
        </is>
      </c>
      <c r="B19" s="9" t="inlineStr">
        <is>
          <t>Discount rate stayed around 8.7%; the analysis does not show a major change in discount intensity as the primary explanation for the margin gap.</t>
        </is>
      </c>
    </row>
    <row r="20" ht="32" customHeight="1">
      <c r="A20" s="8" t="inlineStr">
        <is>
          <t>5.</t>
        </is>
      </c>
      <c r="B20" s="9" t="inlineStr">
        <is>
          <t>Combos are the largest revenue category (23.45%) and have the lowest category margin (52.59%); several combo products also have relatively low margins.</t>
        </is>
      </c>
    </row>
    <row r="21" ht="32" customHeight="1">
      <c r="A21" s="8" t="inlineStr">
        <is>
          <t>6.</t>
        </is>
      </c>
      <c r="B21" s="9" t="inlineStr">
        <is>
          <t>Delivery-related amounts increased with delivery volume, while per-delivery values stayed broadly stable; available analysis does not indicate major per-order deterioration.</t>
        </is>
      </c>
    </row>
    <row r="22"/>
    <row r="23" ht="22" customHeight="1">
      <c r="A23" s="5" t="inlineStr">
        <is>
          <t>Overall interpretation</t>
        </is>
      </c>
    </row>
    <row r="24">
      <c r="A24" s="10" t="inlineStr">
        <is>
          <t>The evidence points to a structural profitability gap reflected in the overall cost burden, with product-level margin variation providing an additional improvement area. The available dataset does not establish one single cause or quantify exactly how much each lever can save.</t>
        </is>
      </c>
    </row>
    <row r="25"/>
    <row r="26"/>
  </sheetData>
  <mergeCells count="15">
    <mergeCell ref="A9:H9"/>
    <mergeCell ref="B17:H17"/>
    <mergeCell ref="A15:H15"/>
    <mergeCell ref="B18:H18"/>
    <mergeCell ref="B19:H19"/>
    <mergeCell ref="B4:H4"/>
    <mergeCell ref="B21:H21"/>
    <mergeCell ref="A24:H26"/>
    <mergeCell ref="B6:H6"/>
    <mergeCell ref="B16:H16"/>
    <mergeCell ref="B7:H7"/>
    <mergeCell ref="A1:H1"/>
    <mergeCell ref="A23:H23"/>
    <mergeCell ref="B5:H5"/>
    <mergeCell ref="B20:H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32" customWidth="1" min="1" max="1"/>
    <col width="32" customWidth="1" min="2" max="2"/>
    <col width="21" customWidth="1" min="3" max="3"/>
    <col width="32" customWidth="1" min="4" max="4"/>
    <col width="10" customWidth="1" min="5" max="5"/>
    <col width="10" customWidth="1" min="6" max="6"/>
  </cols>
  <sheetData>
    <row r="1" ht="30" customHeight="1">
      <c r="A1" s="1" t="inlineStr">
        <is>
          <t>KPI &amp; Target Gap</t>
        </is>
      </c>
    </row>
    <row r="2"/>
    <row r="3" ht="22" customHeight="1">
      <c r="A3" s="5" t="inlineStr">
        <is>
          <t>Overall profitability</t>
        </is>
      </c>
    </row>
    <row r="4">
      <c r="A4" s="11" t="inlineStr">
        <is>
          <t>Metric</t>
        </is>
      </c>
      <c r="B4" s="11" t="inlineStr">
        <is>
          <t>Amount</t>
        </is>
      </c>
      <c r="C4" s="11" t="inlineStr">
        <is>
          <t>% of Revenue</t>
        </is>
      </c>
      <c r="D4" s="11" t="inlineStr">
        <is>
          <t>Meaning</t>
        </is>
      </c>
      <c r="E4" s="12" t="inlineStr"/>
      <c r="F4" s="12" t="inlineStr"/>
    </row>
    <row r="5">
      <c r="A5" s="13" t="inlineStr">
        <is>
          <t>Revenue</t>
        </is>
      </c>
      <c r="B5" s="14" t="n">
        <v>96739281.18000001</v>
      </c>
      <c r="C5" s="15" t="n">
        <v>1</v>
      </c>
      <c r="D5" s="13" t="inlineStr">
        <is>
          <t>Completed-order revenue</t>
        </is>
      </c>
    </row>
    <row r="6">
      <c r="A6" s="13" t="inlineStr">
        <is>
          <t>Food cost</t>
        </is>
      </c>
      <c r="B6" s="14" t="n">
        <v>42590580.44</v>
      </c>
      <c r="C6" s="15" t="n">
        <v>0.4402614937850626</v>
      </c>
      <c r="D6" s="13" t="inlineStr">
        <is>
          <t>Food/raw-material cost</t>
        </is>
      </c>
    </row>
    <row r="7">
      <c r="A7" s="13" t="inlineStr">
        <is>
          <t>Operating cost</t>
        </is>
      </c>
      <c r="B7" s="14" t="n">
        <v>36201158.95</v>
      </c>
      <c r="C7" s="15" t="n">
        <v>0.3742136442242272</v>
      </c>
      <c r="D7" s="13" t="inlineStr">
        <is>
          <t>Operating costs</t>
        </is>
      </c>
    </row>
    <row r="8">
      <c r="A8" s="13" t="inlineStr">
        <is>
          <t>Calculated profit</t>
        </is>
      </c>
      <c r="B8" s="14" t="n">
        <v>17947541.79</v>
      </c>
      <c r="C8" s="15" t="n">
        <v>0.1855248619907101</v>
      </c>
      <c r="D8" s="13" t="inlineStr">
        <is>
          <t>Revenue less food + operating cost</t>
        </is>
      </c>
    </row>
    <row r="9">
      <c r="A9" s="13" t="inlineStr">
        <is>
          <t>Total cost</t>
        </is>
      </c>
      <c r="B9" s="14" t="n">
        <v>78791739.39</v>
      </c>
      <c r="C9" s="15" t="n">
        <v>0.8144751380092898</v>
      </c>
      <c r="D9" s="13" t="inlineStr">
        <is>
          <t>Food cost + operating cost</t>
        </is>
      </c>
    </row>
    <row r="10"/>
    <row r="11" ht="22" customHeight="1">
      <c r="A11" s="5" t="inlineStr">
        <is>
          <t>Target bridge</t>
        </is>
      </c>
    </row>
    <row r="12">
      <c r="A12" s="11" t="inlineStr">
        <is>
          <t>Metric</t>
        </is>
      </c>
      <c r="B12" s="11" t="inlineStr">
        <is>
          <t>Value</t>
        </is>
      </c>
      <c r="C12" s="11" t="inlineStr">
        <is>
          <t>Unit</t>
        </is>
      </c>
      <c r="D12" s="11" t="inlineStr">
        <is>
          <t>Meaning</t>
        </is>
      </c>
      <c r="E12" s="12" t="inlineStr"/>
      <c r="F12" s="12" t="inlineStr"/>
    </row>
    <row r="13">
      <c r="A13" s="13" t="inlineStr">
        <is>
          <t>Current margin</t>
        </is>
      </c>
      <c r="B13" s="15" t="n">
        <v>0.1855248619907101</v>
      </c>
      <c r="C13" s="13" t="inlineStr">
        <is>
          <t>%</t>
        </is>
      </c>
      <c r="D13" s="13" t="inlineStr">
        <is>
          <t>Calculated current margin</t>
        </is>
      </c>
    </row>
    <row r="14">
      <c r="A14" s="13" t="inlineStr">
        <is>
          <t>Target margin</t>
        </is>
      </c>
      <c r="B14" s="15" t="n">
        <v>0.25</v>
      </c>
      <c r="C14" s="13" t="inlineStr">
        <is>
          <t>%</t>
        </is>
      </c>
      <c r="D14" s="13" t="inlineStr">
        <is>
          <t>Client target</t>
        </is>
      </c>
    </row>
    <row r="15">
      <c r="A15" s="13" t="inlineStr">
        <is>
          <t>Margin gap</t>
        </is>
      </c>
      <c r="B15" s="13" t="n">
        <v>0.0644751380092899</v>
      </c>
      <c r="C15" s="13" t="inlineStr">
        <is>
          <t>percentage points</t>
        </is>
      </c>
      <c r="D15" s="13" t="inlineStr">
        <is>
          <t>Target minus current margin</t>
        </is>
      </c>
    </row>
    <row r="16">
      <c r="A16" s="13" t="inlineStr">
        <is>
          <t>Target profit at current revenue</t>
        </is>
      </c>
      <c r="B16" s="14" t="n">
        <v>24184820.295</v>
      </c>
      <c r="C16" s="13" t="inlineStr">
        <is>
          <t>₹</t>
        </is>
      </c>
      <c r="D16" s="13" t="inlineStr">
        <is>
          <t>Profit required at 25% margin</t>
        </is>
      </c>
    </row>
    <row r="17">
      <c r="A17" s="13" t="inlineStr">
        <is>
          <t>Required profit improvement</t>
        </is>
      </c>
      <c r="B17" s="14" t="n">
        <v>6237278.505</v>
      </c>
      <c r="C17" s="13" t="inlineStr">
        <is>
          <t>₹</t>
        </is>
      </c>
      <c r="D17" s="13" t="inlineStr">
        <is>
          <t>Target profit minus current profit</t>
        </is>
      </c>
    </row>
    <row r="18">
      <c r="A18" s="13" t="inlineStr">
        <is>
          <t>Current total cost burden</t>
        </is>
      </c>
      <c r="B18" s="15" t="n">
        <v>0.8144751380092899</v>
      </c>
      <c r="C18" s="13" t="inlineStr">
        <is>
          <t>%</t>
        </is>
      </c>
      <c r="D18" s="13" t="inlineStr">
        <is>
          <t>Food + operating cost / revenue</t>
        </is>
      </c>
    </row>
    <row r="19">
      <c r="A19" s="13" t="inlineStr">
        <is>
          <t>Target total cost burden</t>
        </is>
      </c>
      <c r="B19" s="15" t="n">
        <v>0.75</v>
      </c>
      <c r="C19" s="13" t="inlineStr">
        <is>
          <t>%</t>
        </is>
      </c>
      <c r="D19" s="13" t="inlineStr">
        <is>
          <t>Maximum cost burden consistent with 25% margin</t>
        </is>
      </c>
    </row>
    <row r="20"/>
    <row r="21"/>
    <row r="22">
      <c r="A22" s="16" t="inlineStr">
        <is>
          <t>Key interpretation</t>
        </is>
      </c>
      <c r="B22" s="17" t="inlineStr">
        <is>
          <t>At the current revenue level, achieving 25% margin would require approximately ₹62.37 lakh more calculated profit. This is a target gap, not a quantified savings plan.</t>
        </is>
      </c>
    </row>
    <row r="23"/>
  </sheetData>
  <mergeCells count="4">
    <mergeCell ref="A3:F3"/>
    <mergeCell ref="A11:F11"/>
    <mergeCell ref="A1:F1"/>
    <mergeCell ref="B22:F23"/>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31"/>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9" customWidth="1" min="5" max="5"/>
    <col width="15" customWidth="1" min="6" max="6"/>
    <col width="20" customWidth="1" min="7" max="7"/>
    <col width="12" customWidth="1" min="8" max="8"/>
  </cols>
  <sheetData>
    <row r="1" ht="30" customHeight="1">
      <c r="A1" s="1" t="inlineStr">
        <is>
          <t>Monthly Profitability</t>
        </is>
      </c>
    </row>
    <row r="2"/>
    <row r="3">
      <c r="A3" s="11" t="inlineStr">
        <is>
          <t>Month</t>
        </is>
      </c>
      <c r="B3" s="11" t="inlineStr">
        <is>
          <t>Revenue</t>
        </is>
      </c>
      <c r="C3" s="11" t="inlineStr">
        <is>
          <t>Operating Cost</t>
        </is>
      </c>
      <c r="D3" s="11" t="inlineStr">
        <is>
          <t>Food Cost</t>
        </is>
      </c>
      <c r="E3" s="11" t="inlineStr">
        <is>
          <t>Calculated Profit</t>
        </is>
      </c>
      <c r="F3" s="11" t="inlineStr">
        <is>
          <t>Profit Margin</t>
        </is>
      </c>
      <c r="G3" s="11" t="inlineStr">
        <is>
          <t>Food Cost %</t>
        </is>
      </c>
      <c r="H3" s="11" t="inlineStr">
        <is>
          <t>Discount %</t>
        </is>
      </c>
    </row>
    <row r="4">
      <c r="A4" s="13" t="inlineStr">
        <is>
          <t>2025-01</t>
        </is>
      </c>
      <c r="B4" s="14" t="n">
        <v>3713188.02</v>
      </c>
      <c r="C4" s="14" t="n">
        <v>1746607.12</v>
      </c>
      <c r="D4" s="14" t="n">
        <v>1631915.11</v>
      </c>
      <c r="E4" s="14" t="n">
        <v>334665.79</v>
      </c>
      <c r="F4" s="18" t="n">
        <v>9.012896</v>
      </c>
      <c r="G4" s="18" t="n">
        <v>43.94916447026564</v>
      </c>
      <c r="H4" s="18" t="n">
        <v>8.750867</v>
      </c>
    </row>
    <row r="5">
      <c r="A5" s="13" t="inlineStr">
        <is>
          <t>2025-02</t>
        </is>
      </c>
      <c r="B5" s="14" t="n">
        <v>3528484.25</v>
      </c>
      <c r="C5" s="14" t="n">
        <v>1074222.91</v>
      </c>
      <c r="D5" s="14" t="n">
        <v>1546091.27</v>
      </c>
      <c r="E5" s="14" t="n">
        <v>908170.0699999999</v>
      </c>
      <c r="F5" s="18" t="n">
        <v>25.738249</v>
      </c>
      <c r="G5" s="18" t="n">
        <v>43.81743435584274</v>
      </c>
      <c r="H5" s="18" t="n">
        <v>8.703105000000001</v>
      </c>
    </row>
    <row r="6">
      <c r="A6" s="13" t="inlineStr">
        <is>
          <t>2025-03</t>
        </is>
      </c>
      <c r="B6" s="14" t="n">
        <v>3812805.56</v>
      </c>
      <c r="C6" s="14" t="n">
        <v>1530399.29</v>
      </c>
      <c r="D6" s="14" t="n">
        <v>1682695.16</v>
      </c>
      <c r="E6" s="14" t="n">
        <v>599711.11</v>
      </c>
      <c r="F6" s="18" t="n">
        <v>15.728867</v>
      </c>
      <c r="G6" s="18" t="n">
        <v>44.13272939100518</v>
      </c>
      <c r="H6" s="18" t="n">
        <v>8.711416</v>
      </c>
    </row>
    <row r="7">
      <c r="A7" s="13" t="inlineStr">
        <is>
          <t>2025-04</t>
        </is>
      </c>
      <c r="B7" s="14" t="n">
        <v>3659020.27</v>
      </c>
      <c r="C7" s="14" t="n">
        <v>1681514.97</v>
      </c>
      <c r="D7" s="14" t="n">
        <v>1609445.3</v>
      </c>
      <c r="E7" s="14" t="n">
        <v>368060</v>
      </c>
      <c r="F7" s="18" t="n">
        <v>10.058977</v>
      </c>
      <c r="G7" s="18" t="n">
        <v>43.98568964473105</v>
      </c>
      <c r="H7" s="18" t="n">
        <v>8.701748</v>
      </c>
    </row>
    <row r="8">
      <c r="A8" s="13" t="inlineStr">
        <is>
          <t>2025-05</t>
        </is>
      </c>
      <c r="B8" s="14" t="n">
        <v>3758481.08</v>
      </c>
      <c r="C8" s="14" t="n">
        <v>1314402.63</v>
      </c>
      <c r="D8" s="14" t="n">
        <v>1656238.97</v>
      </c>
      <c r="E8" s="14" t="n">
        <v>787839.48</v>
      </c>
      <c r="F8" s="18" t="n">
        <v>20.961645</v>
      </c>
      <c r="G8" s="18" t="n">
        <v>44.06671032118113</v>
      </c>
      <c r="H8" s="18" t="n">
        <v>8.686745999999999</v>
      </c>
    </row>
    <row r="9">
      <c r="A9" s="13" t="inlineStr">
        <is>
          <t>2025-06</t>
        </is>
      </c>
      <c r="B9" s="14" t="n">
        <v>3683922.2</v>
      </c>
      <c r="C9" s="14" t="n">
        <v>1362145</v>
      </c>
      <c r="D9" s="14" t="n">
        <v>1622324.73</v>
      </c>
      <c r="E9" s="14" t="n">
        <v>699452.47</v>
      </c>
      <c r="F9" s="18" t="n">
        <v>18.986624</v>
      </c>
      <c r="G9" s="18" t="n">
        <v>44.03797479762194</v>
      </c>
      <c r="H9" s="18" t="n">
        <v>8.670297</v>
      </c>
    </row>
    <row r="10">
      <c r="A10" s="13" t="inlineStr">
        <is>
          <t>2025-07</t>
        </is>
      </c>
      <c r="B10" s="14" t="n">
        <v>3714331.52</v>
      </c>
      <c r="C10" s="14" t="n">
        <v>1541885.79</v>
      </c>
      <c r="D10" s="14" t="n">
        <v>1629379</v>
      </c>
      <c r="E10" s="14" t="n">
        <v>543066.73</v>
      </c>
      <c r="F10" s="18" t="n">
        <v>14.620847</v>
      </c>
      <c r="G10" s="18" t="n">
        <v>43.86735516812458</v>
      </c>
      <c r="H10" s="18" t="n">
        <v>8.774678</v>
      </c>
    </row>
    <row r="11">
      <c r="A11" s="13" t="inlineStr">
        <is>
          <t>2025-08</t>
        </is>
      </c>
      <c r="B11" s="14" t="n">
        <v>3712383.35</v>
      </c>
      <c r="C11" s="14" t="n">
        <v>1547051.38</v>
      </c>
      <c r="D11" s="14" t="n">
        <v>1636745.52</v>
      </c>
      <c r="E11" s="14" t="n">
        <v>528586.45</v>
      </c>
      <c r="F11" s="18" t="n">
        <v>14.238466</v>
      </c>
      <c r="G11" s="18" t="n">
        <v>44.08880672304492</v>
      </c>
      <c r="H11" s="18" t="n">
        <v>8.727259</v>
      </c>
    </row>
    <row r="12">
      <c r="A12" s="13" t="inlineStr">
        <is>
          <t>2025-09</t>
        </is>
      </c>
      <c r="B12" s="14" t="n">
        <v>3702335.67</v>
      </c>
      <c r="C12" s="14" t="n">
        <v>1278761</v>
      </c>
      <c r="D12" s="14" t="n">
        <v>1626750.91</v>
      </c>
      <c r="E12" s="14" t="n">
        <v>796823.76</v>
      </c>
      <c r="F12" s="18" t="n">
        <v>21.522191</v>
      </c>
      <c r="G12" s="18" t="n">
        <v>43.93850409571318</v>
      </c>
      <c r="H12" s="18" t="n">
        <v>8.706704999999999</v>
      </c>
    </row>
    <row r="13">
      <c r="A13" s="13" t="inlineStr">
        <is>
          <t>2025-10</t>
        </is>
      </c>
      <c r="B13" s="14" t="n">
        <v>3777037.43</v>
      </c>
      <c r="C13" s="14" t="n">
        <v>1482485.45</v>
      </c>
      <c r="D13" s="14" t="n">
        <v>1664685.39</v>
      </c>
      <c r="E13" s="14" t="n">
        <v>629866.59</v>
      </c>
      <c r="F13" s="18" t="n">
        <v>16.676207</v>
      </c>
      <c r="G13" s="18" t="n">
        <v>44.07383884464179</v>
      </c>
      <c r="H13" s="18" t="n">
        <v>8.71256</v>
      </c>
    </row>
    <row r="14">
      <c r="A14" s="13" t="inlineStr">
        <is>
          <t>2025-11</t>
        </is>
      </c>
      <c r="B14" s="14" t="n">
        <v>3516533.49</v>
      </c>
      <c r="C14" s="14" t="n">
        <v>1467757.15</v>
      </c>
      <c r="D14" s="14" t="n">
        <v>1543645.01</v>
      </c>
      <c r="E14" s="14" t="n">
        <v>505131.33</v>
      </c>
      <c r="F14" s="18" t="n">
        <v>14.364468</v>
      </c>
      <c r="G14" s="18" t="n">
        <v>43.89678114511572</v>
      </c>
      <c r="H14" s="18" t="n">
        <v>8.669083000000001</v>
      </c>
    </row>
    <row r="15">
      <c r="A15" s="13" t="inlineStr">
        <is>
          <t>2025-12</t>
        </is>
      </c>
      <c r="B15" s="14" t="n">
        <v>3893862.34</v>
      </c>
      <c r="C15" s="14" t="n">
        <v>1476340.63</v>
      </c>
      <c r="D15" s="14" t="n">
        <v>1719940.86</v>
      </c>
      <c r="E15" s="14" t="n">
        <v>697580.85</v>
      </c>
      <c r="F15" s="18" t="n">
        <v>17.914882</v>
      </c>
      <c r="G15" s="18" t="n">
        <v>44.17056150988635</v>
      </c>
      <c r="H15" s="18" t="n">
        <v>8.68111</v>
      </c>
    </row>
    <row r="16">
      <c r="A16" s="13" t="inlineStr">
        <is>
          <t>2026-01</t>
        </is>
      </c>
      <c r="B16" s="14" t="n">
        <v>4228961.81</v>
      </c>
      <c r="C16" s="14" t="n">
        <v>1322581.8</v>
      </c>
      <c r="D16" s="14" t="n">
        <v>1867010.37</v>
      </c>
      <c r="E16" s="14" t="n">
        <v>1039369.64</v>
      </c>
      <c r="F16" s="18" t="n">
        <v>24.577418</v>
      </c>
      <c r="G16" s="18" t="n">
        <v>44.14819650499516</v>
      </c>
      <c r="H16" s="18" t="n">
        <v>8.660956000000001</v>
      </c>
    </row>
    <row r="17">
      <c r="A17" s="13" t="inlineStr">
        <is>
          <t>2026-02</t>
        </is>
      </c>
      <c r="B17" s="14" t="n">
        <v>3779708.65</v>
      </c>
      <c r="C17" s="14" t="n">
        <v>1317456.93</v>
      </c>
      <c r="D17" s="14" t="n">
        <v>1664013.37</v>
      </c>
      <c r="E17" s="14" t="n">
        <v>798238.35</v>
      </c>
      <c r="F17" s="18" t="n">
        <v>21.119044</v>
      </c>
      <c r="G17" s="18" t="n">
        <v>44.02491102058885</v>
      </c>
      <c r="H17" s="18" t="n">
        <v>8.650855999999999</v>
      </c>
    </row>
    <row r="18">
      <c r="A18" s="13" t="inlineStr">
        <is>
          <t>2026-03</t>
        </is>
      </c>
      <c r="B18" s="14" t="n">
        <v>4139265.61</v>
      </c>
      <c r="C18" s="14" t="n">
        <v>1403340.88</v>
      </c>
      <c r="D18" s="14" t="n">
        <v>1831755.73</v>
      </c>
      <c r="E18" s="14" t="n">
        <v>904169</v>
      </c>
      <c r="F18" s="18" t="n">
        <v>21.843706</v>
      </c>
      <c r="G18" s="18" t="n">
        <v>44.25315750636258</v>
      </c>
      <c r="H18" s="18" t="n">
        <v>8.68716</v>
      </c>
    </row>
    <row r="19">
      <c r="A19" s="13" t="inlineStr">
        <is>
          <t>2026-04</t>
        </is>
      </c>
      <c r="B19" s="14" t="n">
        <v>4048750.37</v>
      </c>
      <c r="C19" s="14" t="n">
        <v>1416039.77</v>
      </c>
      <c r="D19" s="14" t="n">
        <v>1781945.81</v>
      </c>
      <c r="E19" s="14" t="n">
        <v>850764.79</v>
      </c>
      <c r="F19" s="18" t="n">
        <v>21.013022</v>
      </c>
      <c r="G19" s="18" t="n">
        <v>44.01224197973954</v>
      </c>
      <c r="H19" s="18" t="n">
        <v>8.701123000000001</v>
      </c>
    </row>
    <row r="20">
      <c r="A20" s="13" t="inlineStr">
        <is>
          <t>2026-05</t>
        </is>
      </c>
      <c r="B20" s="14" t="n">
        <v>4157016.7</v>
      </c>
      <c r="C20" s="14" t="n">
        <v>1524628.49</v>
      </c>
      <c r="D20" s="14" t="n">
        <v>1820265.05</v>
      </c>
      <c r="E20" s="14" t="n">
        <v>812123.16</v>
      </c>
      <c r="F20" s="18" t="n">
        <v>19.536202</v>
      </c>
      <c r="G20" s="18" t="n">
        <v>43.78777333273643</v>
      </c>
      <c r="H20" s="18" t="n">
        <v>8.662936999999999</v>
      </c>
    </row>
    <row r="21">
      <c r="A21" s="13" t="inlineStr">
        <is>
          <t>2026-06</t>
        </is>
      </c>
      <c r="B21" s="14" t="n">
        <v>4006887.72</v>
      </c>
      <c r="C21" s="14" t="n">
        <v>1739953</v>
      </c>
      <c r="D21" s="14" t="n">
        <v>1765967.76</v>
      </c>
      <c r="E21" s="14" t="n">
        <v>500966.96</v>
      </c>
      <c r="F21" s="18" t="n">
        <v>12.502645</v>
      </c>
      <c r="G21" s="18" t="n">
        <v>44.07330285761039</v>
      </c>
      <c r="H21" s="18" t="n">
        <v>8.677464000000001</v>
      </c>
    </row>
    <row r="22">
      <c r="A22" s="13" t="inlineStr">
        <is>
          <t>2026-07</t>
        </is>
      </c>
      <c r="B22" s="14" t="n">
        <v>4672447.66</v>
      </c>
      <c r="C22" s="14" t="n">
        <v>1849388.36</v>
      </c>
      <c r="D22" s="14" t="n">
        <v>2061919.68</v>
      </c>
      <c r="E22" s="14" t="n">
        <v>761139.62</v>
      </c>
      <c r="F22" s="18" t="n">
        <v>16.289955</v>
      </c>
      <c r="G22" s="18" t="n">
        <v>44.12932642674054</v>
      </c>
      <c r="H22" s="18" t="n">
        <v>8.692125000000001</v>
      </c>
    </row>
    <row r="23">
      <c r="A23" s="13" t="inlineStr">
        <is>
          <t>2026-08</t>
        </is>
      </c>
      <c r="B23" s="14" t="n">
        <v>4692363.09</v>
      </c>
      <c r="C23" s="14" t="n">
        <v>1860408.65</v>
      </c>
      <c r="D23" s="14" t="n">
        <v>2062970.2</v>
      </c>
      <c r="E23" s="14" t="n">
        <v>768984.24</v>
      </c>
      <c r="F23" s="18" t="n">
        <v>16.387995</v>
      </c>
      <c r="G23" s="18" t="n">
        <v>43.96441964170339</v>
      </c>
      <c r="H23" s="18" t="n">
        <v>8.684722000000001</v>
      </c>
    </row>
    <row r="24">
      <c r="A24" s="13" t="inlineStr">
        <is>
          <t>2026-09</t>
        </is>
      </c>
      <c r="B24" s="14" t="n">
        <v>4572444.13</v>
      </c>
      <c r="C24" s="14" t="n">
        <v>1319852.39</v>
      </c>
      <c r="D24" s="14" t="n">
        <v>2016213.72</v>
      </c>
      <c r="E24" s="14" t="n">
        <v>1236378.02</v>
      </c>
      <c r="F24" s="18" t="n">
        <v>27.039762</v>
      </c>
      <c r="G24" s="18" t="n">
        <v>44.09487929598825</v>
      </c>
      <c r="H24" s="18" t="n">
        <v>8.706344</v>
      </c>
    </row>
    <row r="25">
      <c r="A25" s="13" t="inlineStr">
        <is>
          <t>2026-10</t>
        </is>
      </c>
      <c r="B25" s="14" t="n">
        <v>4767471.57</v>
      </c>
      <c r="C25" s="14" t="n">
        <v>1555440.46</v>
      </c>
      <c r="D25" s="14" t="n">
        <v>2098562.45</v>
      </c>
      <c r="E25" s="14" t="n">
        <v>1113468.66</v>
      </c>
      <c r="F25" s="18" t="n">
        <v>23.355539</v>
      </c>
      <c r="G25" s="18" t="n">
        <v>44.01835268836223</v>
      </c>
      <c r="H25" s="18" t="n">
        <v>8.737342999999999</v>
      </c>
    </row>
    <row r="26">
      <c r="A26" s="13" t="inlineStr">
        <is>
          <t>2026-11</t>
        </is>
      </c>
      <c r="B26" s="14" t="n">
        <v>4543141.81</v>
      </c>
      <c r="C26" s="14" t="n">
        <v>1427986.72</v>
      </c>
      <c r="D26" s="14" t="n">
        <v>2003673.59</v>
      </c>
      <c r="E26" s="14" t="n">
        <v>1111481.5</v>
      </c>
      <c r="F26" s="18" t="n">
        <v>24.465041</v>
      </c>
      <c r="G26" s="18" t="n">
        <v>44.10325879746202</v>
      </c>
      <c r="H26" s="18" t="n">
        <v>8.641921999999999</v>
      </c>
    </row>
    <row r="27">
      <c r="A27" s="13" t="inlineStr">
        <is>
          <t>2026-12</t>
        </is>
      </c>
      <c r="B27" s="14" t="n">
        <v>4658436.88</v>
      </c>
      <c r="C27" s="14" t="n">
        <v>1856659.21</v>
      </c>
      <c r="D27" s="14" t="n">
        <v>2046425.48</v>
      </c>
      <c r="E27" s="14" t="n">
        <v>755352.1899999999</v>
      </c>
      <c r="F27" s="18" t="n">
        <v>16.214713</v>
      </c>
      <c r="G27" s="18" t="n">
        <v>43.92944527779026</v>
      </c>
      <c r="H27" s="18" t="n">
        <v>8.701181999999999</v>
      </c>
    </row>
    <row r="28"/>
    <row r="29" ht="22" customHeight="1">
      <c r="A29" s="5" t="inlineStr">
        <is>
          <t>What the monthly view shows</t>
        </is>
      </c>
    </row>
    <row r="30">
      <c r="A30" s="10" t="inlineStr">
        <is>
          <t>Monthly margin ranged from 9.01% to 25.74% in 2025 and from 12.50% to 27.04% in 2026. This supports a persistent and variable profitability problem rather than a single continuous deterioration.</t>
        </is>
      </c>
    </row>
    <row r="31"/>
  </sheetData>
  <mergeCells count="3">
    <mergeCell ref="A30:H31"/>
    <mergeCell ref="A29:H29"/>
    <mergeCell ref="A1:H1"/>
  </mergeCell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G15"/>
  <sheetViews>
    <sheetView showGridLines="0" workbookViewId="0">
      <pane ySplit="3" topLeftCell="A4" activePane="bottomLeft" state="frozen"/>
      <selection pane="bottomLeft" activeCell="A1" sqref="A1"/>
    </sheetView>
  </sheetViews>
  <sheetFormatPr baseColWidth="8" defaultRowHeight="15"/>
  <cols>
    <col width="32" customWidth="1" min="1" max="1"/>
    <col width="13" customWidth="1" min="2" max="2"/>
    <col width="13" customWidth="1" min="3" max="3"/>
    <col width="15" customWidth="1" min="4" max="4"/>
    <col width="22" customWidth="1" min="5" max="5"/>
    <col width="21" customWidth="1" min="6" max="6"/>
    <col width="32" customWidth="1" min="7" max="7"/>
  </cols>
  <sheetData>
    <row r="1" ht="30" customHeight="1">
      <c r="A1" s="1" t="inlineStr">
        <is>
          <t>Category Profitability</t>
        </is>
      </c>
    </row>
    <row r="2"/>
    <row r="3">
      <c r="A3" s="11" t="inlineStr">
        <is>
          <t>Category</t>
        </is>
      </c>
      <c r="B3" s="11" t="inlineStr">
        <is>
          <t>Revenue</t>
        </is>
      </c>
      <c r="C3" s="11" t="inlineStr">
        <is>
          <t>Profit</t>
        </is>
      </c>
      <c r="D3" s="11" t="inlineStr">
        <is>
          <t>Profit Margin</t>
        </is>
      </c>
      <c r="E3" s="11" t="inlineStr">
        <is>
          <t>Revenue Contribution</t>
        </is>
      </c>
      <c r="F3" s="11" t="inlineStr">
        <is>
          <t>Profit Contribution</t>
        </is>
      </c>
      <c r="G3" s="11" t="inlineStr">
        <is>
          <t>Observation</t>
        </is>
      </c>
    </row>
    <row r="4">
      <c r="A4" s="13" t="inlineStr">
        <is>
          <t>Pizza</t>
        </is>
      </c>
      <c r="B4" s="14" t="n">
        <v>20121210.2</v>
      </c>
      <c r="C4" s="14" t="n">
        <v>13096337.01</v>
      </c>
      <c r="D4" s="18" t="n">
        <v>65.08722299999999</v>
      </c>
      <c r="E4" s="18" t="n">
        <v>19.135471</v>
      </c>
      <c r="F4" s="18" t="n">
        <v>20.933778</v>
      </c>
      <c r="G4" s="13" t="inlineStr">
        <is>
          <t>High margin and meaningful revenue contribution.</t>
        </is>
      </c>
    </row>
    <row r="5">
      <c r="A5" s="13" t="inlineStr">
        <is>
          <t>Combos</t>
        </is>
      </c>
      <c r="B5" s="14" t="n">
        <v>24662751.4</v>
      </c>
      <c r="C5" s="14" t="n">
        <v>12969212.14</v>
      </c>
      <c r="D5" s="18" t="n">
        <v>52.586234</v>
      </c>
      <c r="E5" s="18" t="n">
        <v>23.454522</v>
      </c>
      <c r="F5" s="18" t="n">
        <v>20.730576</v>
      </c>
      <c r="G5" s="13" t="inlineStr">
        <is>
          <t>Largest revenue share and lowest category margin; priority area for margin review.</t>
        </is>
      </c>
    </row>
    <row r="6">
      <c r="A6" s="13" t="inlineStr">
        <is>
          <t>Burgers</t>
        </is>
      </c>
      <c r="B6" s="14" t="n">
        <v>16205110.4</v>
      </c>
      <c r="C6" s="14" t="n">
        <v>10012275.09</v>
      </c>
      <c r="D6" s="18" t="n">
        <v>61.784677</v>
      </c>
      <c r="E6" s="18" t="n">
        <v>15.411221</v>
      </c>
      <c r="F6" s="18" t="n">
        <v>16.004074</v>
      </c>
      <c r="G6" s="13" t="inlineStr">
        <is>
          <t>Strong margin with meaningful revenue contribution.</t>
        </is>
      </c>
    </row>
    <row r="7">
      <c r="A7" s="13" t="inlineStr">
        <is>
          <t>Main Course</t>
        </is>
      </c>
      <c r="B7" s="14" t="n">
        <v>17188761.25</v>
      </c>
      <c r="C7" s="14" t="n">
        <v>9925321.92</v>
      </c>
      <c r="D7" s="18" t="n">
        <v>57.74309</v>
      </c>
      <c r="E7" s="18" t="n">
        <v>16.346683</v>
      </c>
      <c r="F7" s="18" t="n">
        <v>15.865084</v>
      </c>
      <c r="G7" s="13" t="inlineStr">
        <is>
          <t>Mid-range margin and material revenue contribution.</t>
        </is>
      </c>
    </row>
    <row r="8">
      <c r="A8" s="13" t="inlineStr">
        <is>
          <t>Snacks</t>
        </is>
      </c>
      <c r="B8" s="14" t="n">
        <v>10224456.75</v>
      </c>
      <c r="C8" s="14" t="n">
        <v>6695784.79</v>
      </c>
      <c r="D8" s="18" t="n">
        <v>65.487927</v>
      </c>
      <c r="E8" s="18" t="n">
        <v>9.723560000000001</v>
      </c>
      <c r="F8" s="18" t="n">
        <v>10.702846</v>
      </c>
      <c r="G8" s="13" t="inlineStr">
        <is>
          <t>Highest category margin, but lower revenue contribution.</t>
        </is>
      </c>
    </row>
    <row r="9">
      <c r="A9" s="13" t="inlineStr">
        <is>
          <t>Desserts</t>
        </is>
      </c>
      <c r="B9" s="14" t="n">
        <v>10008453.5</v>
      </c>
      <c r="C9" s="14" t="n">
        <v>5774396.29</v>
      </c>
      <c r="D9" s="18" t="n">
        <v>57.69519</v>
      </c>
      <c r="E9" s="18" t="n">
        <v>9.518139</v>
      </c>
      <c r="F9" s="18" t="n">
        <v>9.230055999999999</v>
      </c>
      <c r="G9" s="13" t="inlineStr">
        <is>
          <t>Mid-range margin with lower contribution.</t>
        </is>
      </c>
    </row>
    <row r="10">
      <c r="A10" s="13" t="inlineStr">
        <is>
          <t>Beverages</t>
        </is>
      </c>
      <c r="B10" s="14" t="n">
        <v>6740627.65</v>
      </c>
      <c r="C10" s="14" t="n">
        <v>4087463.47</v>
      </c>
      <c r="D10" s="18" t="n">
        <v>60.639212</v>
      </c>
      <c r="E10" s="18" t="n">
        <v>6.410404</v>
      </c>
      <c r="F10" s="18" t="n">
        <v>6.533587</v>
      </c>
      <c r="G10" s="13" t="inlineStr">
        <is>
          <t>Healthy margin but smallest revenue contribution.</t>
        </is>
      </c>
    </row>
    <row r="11"/>
    <row r="12"/>
    <row r="13" ht="22" customHeight="1">
      <c r="A13" s="5" t="inlineStr">
        <is>
          <t>Interpretation</t>
        </is>
      </c>
    </row>
    <row r="14">
      <c r="A14" s="19" t="inlineStr">
        <is>
          <t>Category-level product profit is based on selling revenue less unit food cost only. It is not fully allocated net profit because operating and delivery costs are not assigned to individual products.</t>
        </is>
      </c>
    </row>
    <row r="15"/>
  </sheetData>
  <mergeCells count="3">
    <mergeCell ref="A13:G13"/>
    <mergeCell ref="A14:G15"/>
    <mergeCell ref="A1:G1"/>
  </mergeCell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H26"/>
  <sheetViews>
    <sheetView showGridLines="0" workbookViewId="0">
      <pane ySplit="3" topLeftCell="A4" activePane="bottomLeft" state="frozen"/>
      <selection pane="bottomLeft" activeCell="A1" sqref="A1"/>
    </sheetView>
  </sheetViews>
  <sheetFormatPr baseColWidth="8" defaultRowHeight="15"/>
  <cols>
    <col width="32" customWidth="1" min="1" max="1"/>
    <col width="20" customWidth="1" min="2" max="2"/>
    <col width="13" customWidth="1" min="3" max="3"/>
    <col width="12" customWidth="1" min="4" max="4"/>
    <col width="12" customWidth="1" min="5" max="5"/>
    <col width="12" customWidth="1" min="6" max="6"/>
    <col width="11" customWidth="1" min="7" max="7"/>
    <col width="21" customWidth="1" min="8" max="8"/>
  </cols>
  <sheetData>
    <row r="1" ht="30" customHeight="1">
      <c r="A1" s="1" t="inlineStr">
        <is>
          <t>Product Profitability Opportunities</t>
        </is>
      </c>
    </row>
    <row r="2"/>
    <row r="3" ht="22" customHeight="1">
      <c r="A3" s="5" t="inlineStr">
        <is>
          <t>Lowest-margin products</t>
        </is>
      </c>
    </row>
    <row r="4">
      <c r="A4" s="11" t="inlineStr">
        <is>
          <t>Product ID</t>
        </is>
      </c>
      <c r="B4" s="11" t="inlineStr">
        <is>
          <t>Product</t>
        </is>
      </c>
      <c r="C4" s="11" t="inlineStr">
        <is>
          <t>Category</t>
        </is>
      </c>
      <c r="D4" s="11" t="inlineStr">
        <is>
          <t>Quantity</t>
        </is>
      </c>
      <c r="E4" s="11" t="inlineStr">
        <is>
          <t>Revenue</t>
        </is>
      </c>
      <c r="F4" s="11" t="inlineStr">
        <is>
          <t>Profit</t>
        </is>
      </c>
      <c r="G4" s="11" t="inlineStr">
        <is>
          <t>Margin</t>
        </is>
      </c>
      <c r="H4" s="11" t="inlineStr">
        <is>
          <t>Profit Contribution</t>
        </is>
      </c>
    </row>
    <row r="5">
      <c r="A5" s="13" t="inlineStr">
        <is>
          <t>P032</t>
        </is>
      </c>
      <c r="B5" s="13" t="inlineStr">
        <is>
          <t>Snacks Item 8</t>
        </is>
      </c>
      <c r="C5" s="13" t="inlineStr">
        <is>
          <t>Snacks</t>
        </is>
      </c>
      <c r="D5" s="13" t="n">
        <v>8216</v>
      </c>
      <c r="E5" s="14" t="n">
        <v>1144941</v>
      </c>
      <c r="F5" s="14" t="n">
        <v>483224.36</v>
      </c>
      <c r="G5" s="18" t="n">
        <v>42.205176</v>
      </c>
      <c r="H5" s="18" t="n">
        <v>0.772408</v>
      </c>
    </row>
    <row r="6">
      <c r="A6" s="13" t="inlineStr">
        <is>
          <t>P006</t>
        </is>
      </c>
      <c r="B6" s="13" t="inlineStr">
        <is>
          <t>Burgers Item 6</t>
        </is>
      </c>
      <c r="C6" s="13" t="inlineStr">
        <is>
          <t>Burgers</t>
        </is>
      </c>
      <c r="D6" s="13" t="n">
        <v>8404</v>
      </c>
      <c r="E6" s="14" t="n">
        <v>2194394.1</v>
      </c>
      <c r="F6" s="14" t="n">
        <v>941189.62</v>
      </c>
      <c r="G6" s="18" t="n">
        <v>42.890638</v>
      </c>
      <c r="H6" s="18" t="n">
        <v>1.50444</v>
      </c>
    </row>
    <row r="7">
      <c r="A7" s="13" t="inlineStr">
        <is>
          <t>P023</t>
        </is>
      </c>
      <c r="B7" s="13" t="inlineStr">
        <is>
          <t>Main Course Item 7</t>
        </is>
      </c>
      <c r="C7" s="13" t="inlineStr">
        <is>
          <t>Main Course</t>
        </is>
      </c>
      <c r="D7" s="13" t="n">
        <v>8394</v>
      </c>
      <c r="E7" s="14" t="n">
        <v>1783225.35</v>
      </c>
      <c r="F7" s="14" t="n">
        <v>765788.61</v>
      </c>
      <c r="G7" s="18" t="n">
        <v>42.944018</v>
      </c>
      <c r="H7" s="18" t="n">
        <v>1.224071</v>
      </c>
    </row>
    <row r="8">
      <c r="A8" s="13" t="inlineStr">
        <is>
          <t>P051</t>
        </is>
      </c>
      <c r="B8" s="13" t="inlineStr">
        <is>
          <t>Combos Item 3</t>
        </is>
      </c>
      <c r="C8" s="13" t="inlineStr">
        <is>
          <t>Combos</t>
        </is>
      </c>
      <c r="D8" s="13" t="n">
        <v>8334</v>
      </c>
      <c r="E8" s="14" t="n">
        <v>2557431.8</v>
      </c>
      <c r="F8" s="14" t="n">
        <v>1133651.24</v>
      </c>
      <c r="G8" s="18" t="n">
        <v>44.327721</v>
      </c>
      <c r="H8" s="18" t="n">
        <v>1.812079</v>
      </c>
    </row>
    <row r="9">
      <c r="A9" s="13" t="inlineStr">
        <is>
          <t>P020</t>
        </is>
      </c>
      <c r="B9" s="13" t="inlineStr">
        <is>
          <t>Main Course Item 4</t>
        </is>
      </c>
      <c r="C9" s="13" t="inlineStr">
        <is>
          <t>Main Course</t>
        </is>
      </c>
      <c r="D9" s="13" t="n">
        <v>8403</v>
      </c>
      <c r="E9" s="14" t="n">
        <v>1899445.2</v>
      </c>
      <c r="F9" s="14" t="n">
        <v>855372.45</v>
      </c>
      <c r="G9" s="18" t="n">
        <v>45.032752</v>
      </c>
      <c r="H9" s="18" t="n">
        <v>1.367266</v>
      </c>
    </row>
    <row r="10"/>
    <row r="11"/>
    <row r="12" ht="22" customHeight="1">
      <c r="A12" s="5" t="inlineStr">
        <is>
          <t>Combo category deep-dive</t>
        </is>
      </c>
    </row>
    <row r="13">
      <c r="A13" s="11" t="inlineStr">
        <is>
          <t>Product ID</t>
        </is>
      </c>
      <c r="B13" s="11" t="inlineStr">
        <is>
          <t>Product</t>
        </is>
      </c>
      <c r="C13" s="11" t="inlineStr">
        <is>
          <t>Quantity</t>
        </is>
      </c>
      <c r="D13" s="11" t="inlineStr">
        <is>
          <t>Revenue</t>
        </is>
      </c>
      <c r="E13" s="11" t="inlineStr">
        <is>
          <t>Food Cost</t>
        </is>
      </c>
      <c r="F13" s="11" t="inlineStr">
        <is>
          <t>Profit</t>
        </is>
      </c>
      <c r="G13" s="11" t="inlineStr">
        <is>
          <t>Margin</t>
        </is>
      </c>
      <c r="H13" s="11" t="inlineStr">
        <is>
          <t>Profit Contribution</t>
        </is>
      </c>
    </row>
    <row r="14">
      <c r="A14" s="13" t="inlineStr">
        <is>
          <t>P051</t>
        </is>
      </c>
      <c r="B14" s="13" t="inlineStr">
        <is>
          <t>Combos Item 3</t>
        </is>
      </c>
      <c r="C14" s="13" t="n">
        <v>8334</v>
      </c>
      <c r="D14" s="14" t="n">
        <v>2557431.8</v>
      </c>
      <c r="E14" s="14" t="n">
        <v>1423780.56</v>
      </c>
      <c r="F14" s="14" t="n">
        <v>1133651.24</v>
      </c>
      <c r="G14" s="18" t="n">
        <v>44.327721</v>
      </c>
      <c r="H14" s="18" t="n">
        <v>1.812079</v>
      </c>
    </row>
    <row r="15">
      <c r="A15" s="13" t="inlineStr">
        <is>
          <t>P056</t>
        </is>
      </c>
      <c r="B15" s="13" t="inlineStr">
        <is>
          <t>Combos Item 8</t>
        </is>
      </c>
      <c r="C15" s="13" t="n">
        <v>8332</v>
      </c>
      <c r="D15" s="14" t="n">
        <v>3512930.4</v>
      </c>
      <c r="E15" s="14" t="n">
        <v>1912360.64</v>
      </c>
      <c r="F15" s="14" t="n">
        <v>1600569.76</v>
      </c>
      <c r="G15" s="18" t="n">
        <v>45.562239</v>
      </c>
      <c r="H15" s="18" t="n">
        <v>2.558423</v>
      </c>
    </row>
    <row r="16">
      <c r="A16" s="13" t="inlineStr">
        <is>
          <t>P052</t>
        </is>
      </c>
      <c r="B16" s="13" t="inlineStr">
        <is>
          <t>Combos Item 4</t>
        </is>
      </c>
      <c r="C16" s="13" t="n">
        <v>8479</v>
      </c>
      <c r="D16" s="14" t="n">
        <v>2759651.1</v>
      </c>
      <c r="E16" s="14" t="n">
        <v>1416586.53</v>
      </c>
      <c r="F16" s="14" t="n">
        <v>1343064.57</v>
      </c>
      <c r="G16" s="18" t="n">
        <v>48.667912</v>
      </c>
      <c r="H16" s="18" t="n">
        <v>2.146815</v>
      </c>
    </row>
    <row r="17">
      <c r="A17" s="13" t="inlineStr">
        <is>
          <t>P055</t>
        </is>
      </c>
      <c r="B17" s="13" t="inlineStr">
        <is>
          <t>Combos Item 7</t>
        </is>
      </c>
      <c r="C17" s="13" t="n">
        <v>8313</v>
      </c>
      <c r="D17" s="14" t="n">
        <v>3027295.8</v>
      </c>
      <c r="E17" s="14" t="n">
        <v>1553782.83</v>
      </c>
      <c r="F17" s="14" t="n">
        <v>1473512.97</v>
      </c>
      <c r="G17" s="18" t="n">
        <v>48.674232</v>
      </c>
      <c r="H17" s="18" t="n">
        <v>2.35533</v>
      </c>
    </row>
    <row r="18">
      <c r="A18" s="13" t="inlineStr">
        <is>
          <t>P053</t>
        </is>
      </c>
      <c r="B18" s="13" t="inlineStr">
        <is>
          <t>Combos Item 5</t>
        </is>
      </c>
      <c r="C18" s="13" t="n">
        <v>8444</v>
      </c>
      <c r="D18" s="14" t="n">
        <v>3521967.35</v>
      </c>
      <c r="E18" s="14" t="n">
        <v>1802034.04</v>
      </c>
      <c r="F18" s="14" t="n">
        <v>1719933.31</v>
      </c>
      <c r="G18" s="18" t="n">
        <v>48.834448</v>
      </c>
      <c r="H18" s="18" t="n">
        <v>2.749219</v>
      </c>
    </row>
    <row r="19">
      <c r="A19" s="13" t="inlineStr">
        <is>
          <t>P050</t>
        </is>
      </c>
      <c r="B19" s="13" t="inlineStr">
        <is>
          <t>Combos Item 2</t>
        </is>
      </c>
      <c r="C19" s="13" t="n">
        <v>8606</v>
      </c>
      <c r="D19" s="14" t="n">
        <v>3282903.65</v>
      </c>
      <c r="E19" s="14" t="n">
        <v>1621714.64</v>
      </c>
      <c r="F19" s="14" t="n">
        <v>1661189.01</v>
      </c>
      <c r="G19" s="18" t="n">
        <v>50.601211</v>
      </c>
      <c r="H19" s="18" t="n">
        <v>2.65532</v>
      </c>
    </row>
    <row r="20">
      <c r="A20" s="13" t="inlineStr">
        <is>
          <t>P049</t>
        </is>
      </c>
      <c r="B20" s="13" t="inlineStr">
        <is>
          <t>Combos Item 1</t>
        </is>
      </c>
      <c r="C20" s="13" t="n">
        <v>8353</v>
      </c>
      <c r="D20" s="14" t="n">
        <v>2875761.7</v>
      </c>
      <c r="E20" s="14" t="n">
        <v>1062835.72</v>
      </c>
      <c r="F20" s="14" t="n">
        <v>1812925.98</v>
      </c>
      <c r="G20" s="18" t="n">
        <v>63.041593</v>
      </c>
      <c r="H20" s="18" t="n">
        <v>2.897863</v>
      </c>
    </row>
    <row r="21">
      <c r="A21" s="13" t="inlineStr">
        <is>
          <t>P054</t>
        </is>
      </c>
      <c r="B21" s="13" t="inlineStr">
        <is>
          <t>Combos Item 6</t>
        </is>
      </c>
      <c r="C21" s="13" t="n">
        <v>8230</v>
      </c>
      <c r="D21" s="14" t="n">
        <v>3124809.6</v>
      </c>
      <c r="E21" s="14" t="n">
        <v>900444.3</v>
      </c>
      <c r="F21" s="14" t="n">
        <v>2224365.3</v>
      </c>
      <c r="G21" s="18" t="n">
        <v>71.184027</v>
      </c>
      <c r="H21" s="18" t="n">
        <v>3.555526</v>
      </c>
    </row>
    <row r="22"/>
    <row r="23" ht="22" customHeight="1">
      <c r="A23" s="5" t="inlineStr">
        <is>
          <t>Recommended product review</t>
        </is>
      </c>
    </row>
    <row r="24">
      <c r="A24" s="10" t="inlineStr">
        <is>
          <t>Review the recipe cost, portion size, selling price and promotional positioning of the lower-margin/high-volume products before changing prices or removing items. The current dataset identifies where to investigate, but does not contain enough operational detail to quantify an exact saving for each product.</t>
        </is>
      </c>
    </row>
    <row r="25"/>
    <row r="26"/>
  </sheetData>
  <mergeCells count="5">
    <mergeCell ref="A12:H12"/>
    <mergeCell ref="A3:H3"/>
    <mergeCell ref="A24:H26"/>
    <mergeCell ref="A1:H1"/>
    <mergeCell ref="A23:H23"/>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H38"/>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2" customWidth="1" min="3" max="3"/>
    <col width="32" customWidth="1" min="4" max="4"/>
    <col width="16" customWidth="1" min="5" max="5"/>
    <col width="23" customWidth="1" min="6" max="6"/>
    <col width="22" customWidth="1" min="7" max="7"/>
    <col width="10" customWidth="1" min="8" max="8"/>
  </cols>
  <sheetData>
    <row r="1" ht="30" customHeight="1">
      <c r="A1" s="1" t="inlineStr">
        <is>
          <t>Delivery Analysis</t>
        </is>
      </c>
    </row>
    <row r="2"/>
    <row r="3" ht="22" customHeight="1">
      <c r="A3" s="5" t="inlineStr">
        <is>
          <t>Delivery status</t>
        </is>
      </c>
    </row>
    <row r="4">
      <c r="A4" s="11" t="inlineStr">
        <is>
          <t>Status</t>
        </is>
      </c>
      <c r="B4" s="11" t="inlineStr">
        <is>
          <t>Orders</t>
        </is>
      </c>
      <c r="C4" s="11" t="inlineStr">
        <is>
          <t>Share</t>
        </is>
      </c>
      <c r="D4" s="11" t="inlineStr">
        <is>
          <t>Interpretation</t>
        </is>
      </c>
      <c r="E4" s="12" t="inlineStr"/>
      <c r="F4" s="12" t="inlineStr"/>
      <c r="G4" s="12" t="inlineStr"/>
      <c r="H4" s="12" t="inlineStr"/>
    </row>
    <row r="5">
      <c r="A5" s="13" t="inlineStr">
        <is>
          <t>Delivered</t>
        </is>
      </c>
      <c r="B5" s="13" t="n">
        <v>94005</v>
      </c>
      <c r="C5" s="15" t="n">
        <v>0.9400500000000001</v>
      </c>
      <c r="D5" s="13" t="inlineStr">
        <is>
          <t>Delivery records observed in project dataset</t>
        </is>
      </c>
    </row>
    <row r="6">
      <c r="A6" s="13" t="inlineStr">
        <is>
          <t>Failed</t>
        </is>
      </c>
      <c r="B6" s="13" t="n">
        <v>3995</v>
      </c>
      <c r="C6" s="15" t="n">
        <v>0.03995</v>
      </c>
      <c r="D6" s="13" t="inlineStr">
        <is>
          <t>Descriptive status result</t>
        </is>
      </c>
    </row>
    <row r="7">
      <c r="A7" s="13" t="inlineStr">
        <is>
          <t>Returned</t>
        </is>
      </c>
      <c r="B7" s="13" t="n">
        <v>2000</v>
      </c>
      <c r="C7" s="15" t="n">
        <v>0.02</v>
      </c>
      <c r="D7" s="13" t="inlineStr">
        <is>
          <t>Descriptive status result</t>
        </is>
      </c>
    </row>
    <row r="8"/>
    <row r="9" ht="22" customHeight="1">
      <c r="A9" s="5" t="inlineStr">
        <is>
          <t>Monthly delivery-related amounts and per-order values</t>
        </is>
      </c>
    </row>
    <row r="10">
      <c r="A10" s="11" t="inlineStr">
        <is>
          <t>Month</t>
        </is>
      </c>
      <c r="B10" s="11" t="inlineStr">
        <is>
          <t>Delivery Fee</t>
        </is>
      </c>
      <c r="C10" s="11" t="inlineStr">
        <is>
          <t>Commission</t>
        </is>
      </c>
      <c r="D10" s="11" t="inlineStr">
        <is>
          <t>Packaging</t>
        </is>
      </c>
      <c r="E10" s="11" t="inlineStr">
        <is>
          <t>Fee / Delivery</t>
        </is>
      </c>
      <c r="F10" s="11" t="inlineStr">
        <is>
          <t>Commission / Delivery</t>
        </is>
      </c>
      <c r="G10" s="11" t="inlineStr">
        <is>
          <t>Packaging / Delivery</t>
        </is>
      </c>
      <c r="H10" s="12" t="inlineStr"/>
    </row>
    <row r="11">
      <c r="A11" s="13" t="inlineStr">
        <is>
          <t>2025-01</t>
        </is>
      </c>
      <c r="B11" s="14" t="n">
        <v>174904.31</v>
      </c>
      <c r="C11" s="14" t="n">
        <v>358536.04</v>
      </c>
      <c r="D11" s="14" t="n">
        <v>62962.6</v>
      </c>
      <c r="E11" s="14" t="n">
        <v>49.929863</v>
      </c>
      <c r="F11" s="14" t="n">
        <v>102.351139</v>
      </c>
      <c r="G11" s="14" t="n">
        <v>17.973908</v>
      </c>
    </row>
    <row r="12">
      <c r="A12" s="13" t="inlineStr">
        <is>
          <t>2025-02</t>
        </is>
      </c>
      <c r="B12" s="14" t="n">
        <v>169951.06</v>
      </c>
      <c r="C12" s="14" t="n">
        <v>343643.69</v>
      </c>
      <c r="D12" s="14" t="n">
        <v>61001.91</v>
      </c>
      <c r="E12" s="14" t="n">
        <v>49.824409</v>
      </c>
      <c r="F12" s="14" t="n">
        <v>100.745731</v>
      </c>
      <c r="G12" s="14" t="n">
        <v>17.883879</v>
      </c>
    </row>
    <row r="13">
      <c r="A13" s="13" t="inlineStr">
        <is>
          <t>2025-03</t>
        </is>
      </c>
      <c r="B13" s="14" t="n">
        <v>184097.44</v>
      </c>
      <c r="C13" s="14" t="n">
        <v>378409.81</v>
      </c>
      <c r="D13" s="14" t="n">
        <v>66668.02</v>
      </c>
      <c r="E13" s="14" t="n">
        <v>49.79644</v>
      </c>
      <c r="F13" s="14" t="n">
        <v>102.355913</v>
      </c>
      <c r="G13" s="14" t="n">
        <v>18.033005</v>
      </c>
    </row>
    <row r="14">
      <c r="A14" s="13" t="inlineStr">
        <is>
          <t>2025-04</t>
        </is>
      </c>
      <c r="B14" s="14" t="n">
        <v>175123.35</v>
      </c>
      <c r="C14" s="14" t="n">
        <v>353033.75</v>
      </c>
      <c r="D14" s="14" t="n">
        <v>62673.69</v>
      </c>
      <c r="E14" s="14" t="n">
        <v>50.164237</v>
      </c>
      <c r="F14" s="14" t="n">
        <v>101.126826</v>
      </c>
      <c r="G14" s="14" t="n">
        <v>17.952933</v>
      </c>
    </row>
    <row r="15">
      <c r="A15" s="13" t="inlineStr">
        <is>
          <t>2025-05</t>
        </is>
      </c>
      <c r="B15" s="14" t="n">
        <v>183540</v>
      </c>
      <c r="C15" s="14" t="n">
        <v>358277.06</v>
      </c>
      <c r="D15" s="14" t="n">
        <v>65887.38</v>
      </c>
      <c r="E15" s="14" t="n">
        <v>50.147541</v>
      </c>
      <c r="F15" s="14" t="n">
        <v>97.88990699999999</v>
      </c>
      <c r="G15" s="14" t="n">
        <v>18.002016</v>
      </c>
    </row>
    <row r="16">
      <c r="A16" s="13" t="inlineStr">
        <is>
          <t>2025-06</t>
        </is>
      </c>
      <c r="B16" s="14" t="n">
        <v>175047.56</v>
      </c>
      <c r="C16" s="14" t="n">
        <v>354814.58</v>
      </c>
      <c r="D16" s="14" t="n">
        <v>63381.03</v>
      </c>
      <c r="E16" s="14" t="n">
        <v>49.842699</v>
      </c>
      <c r="F16" s="14" t="n">
        <v>101.029208</v>
      </c>
      <c r="G16" s="14" t="n">
        <v>18.04699</v>
      </c>
    </row>
    <row r="17">
      <c r="A17" s="13" t="inlineStr">
        <is>
          <t>2025-07</t>
        </is>
      </c>
      <c r="B17" s="14" t="n">
        <v>177649.56</v>
      </c>
      <c r="C17" s="14" t="n">
        <v>361428.35</v>
      </c>
      <c r="D17" s="14" t="n">
        <v>64741.63</v>
      </c>
      <c r="E17" s="14" t="n">
        <v>49.5674</v>
      </c>
      <c r="F17" s="14" t="n">
        <v>100.844964</v>
      </c>
      <c r="G17" s="14" t="n">
        <v>18.064071</v>
      </c>
    </row>
    <row r="18">
      <c r="A18" s="13" t="inlineStr">
        <is>
          <t>2025-08</t>
        </is>
      </c>
      <c r="B18" s="14" t="n">
        <v>173124.47</v>
      </c>
      <c r="C18" s="14" t="n">
        <v>359523.96</v>
      </c>
      <c r="D18" s="14" t="n">
        <v>61905.01</v>
      </c>
      <c r="E18" s="14" t="n">
        <v>49.748411</v>
      </c>
      <c r="F18" s="14" t="n">
        <v>103.311483</v>
      </c>
      <c r="G18" s="14" t="n">
        <v>17.788796</v>
      </c>
    </row>
    <row r="19">
      <c r="A19" s="13" t="inlineStr">
        <is>
          <t>2025-09</t>
        </is>
      </c>
      <c r="B19" s="14" t="n">
        <v>178937.58</v>
      </c>
      <c r="C19" s="14" t="n">
        <v>371703.69</v>
      </c>
      <c r="D19" s="14" t="n">
        <v>64518.6</v>
      </c>
      <c r="E19" s="14" t="n">
        <v>50.066475</v>
      </c>
      <c r="F19" s="14" t="n">
        <v>104.002152</v>
      </c>
      <c r="G19" s="14" t="n">
        <v>18.05221</v>
      </c>
    </row>
    <row r="20">
      <c r="A20" s="13" t="inlineStr">
        <is>
          <t>2025-10</t>
        </is>
      </c>
      <c r="B20" s="14" t="n">
        <v>177201.98</v>
      </c>
      <c r="C20" s="14" t="n">
        <v>359523.36</v>
      </c>
      <c r="D20" s="14" t="n">
        <v>63362.65</v>
      </c>
      <c r="E20" s="14" t="n">
        <v>50.113682</v>
      </c>
      <c r="F20" s="14" t="n">
        <v>101.675158</v>
      </c>
      <c r="G20" s="14" t="n">
        <v>17.919301</v>
      </c>
    </row>
    <row r="21">
      <c r="A21" s="13" t="inlineStr">
        <is>
          <t>2025-11</t>
        </is>
      </c>
      <c r="B21" s="14" t="n">
        <v>167254.08</v>
      </c>
      <c r="C21" s="14" t="n">
        <v>335221.81</v>
      </c>
      <c r="D21" s="14" t="n">
        <v>59554.31</v>
      </c>
      <c r="E21" s="14" t="n">
        <v>50.484177</v>
      </c>
      <c r="F21" s="14" t="n">
        <v>101.183764</v>
      </c>
      <c r="G21" s="14" t="n">
        <v>17.975946</v>
      </c>
    </row>
    <row r="22">
      <c r="A22" s="13" t="inlineStr">
        <is>
          <t>2025-12</t>
        </is>
      </c>
      <c r="B22" s="14" t="n">
        <v>182612.57</v>
      </c>
      <c r="C22" s="14" t="n">
        <v>374391.73</v>
      </c>
      <c r="D22" s="14" t="n">
        <v>65345.92</v>
      </c>
      <c r="E22" s="14" t="n">
        <v>50.08573</v>
      </c>
      <c r="F22" s="14" t="n">
        <v>102.685609</v>
      </c>
      <c r="G22" s="14" t="n">
        <v>17.922633</v>
      </c>
    </row>
    <row r="23">
      <c r="A23" s="13" t="inlineStr">
        <is>
          <t>2026-01</t>
        </is>
      </c>
      <c r="B23" s="14" t="n">
        <v>203095.6</v>
      </c>
      <c r="C23" s="14" t="n">
        <v>407097.76</v>
      </c>
      <c r="D23" s="14" t="n">
        <v>72310.59</v>
      </c>
      <c r="E23" s="14" t="n">
        <v>50.735848</v>
      </c>
      <c r="F23" s="14" t="n">
        <v>101.698166</v>
      </c>
      <c r="G23" s="14" t="n">
        <v>18.064099</v>
      </c>
    </row>
    <row r="24">
      <c r="A24" s="13" t="inlineStr">
        <is>
          <t>2026-02</t>
        </is>
      </c>
      <c r="B24" s="14" t="n">
        <v>179945.26</v>
      </c>
      <c r="C24" s="14" t="n">
        <v>369275.61</v>
      </c>
      <c r="D24" s="14" t="n">
        <v>65647.52</v>
      </c>
      <c r="E24" s="14" t="n">
        <v>49.50351</v>
      </c>
      <c r="F24" s="14" t="n">
        <v>101.588889</v>
      </c>
      <c r="G24" s="14" t="n">
        <v>18.05984</v>
      </c>
    </row>
    <row r="25">
      <c r="A25" s="13" t="inlineStr">
        <is>
          <t>2026-03</t>
        </is>
      </c>
      <c r="B25" s="14" t="n">
        <v>202887.22</v>
      </c>
      <c r="C25" s="14" t="n">
        <v>405217.67</v>
      </c>
      <c r="D25" s="14" t="n">
        <v>72371.50999999999</v>
      </c>
      <c r="E25" s="14" t="n">
        <v>50.344223</v>
      </c>
      <c r="F25" s="14" t="n">
        <v>100.55029</v>
      </c>
      <c r="G25" s="14" t="n">
        <v>17.958191</v>
      </c>
    </row>
    <row r="26">
      <c r="A26" s="13" t="inlineStr">
        <is>
          <t>2026-04</t>
        </is>
      </c>
      <c r="B26" s="14" t="n">
        <v>196790.58</v>
      </c>
      <c r="C26" s="14" t="n">
        <v>405626.28</v>
      </c>
      <c r="D26" s="14" t="n">
        <v>70730.14999999999</v>
      </c>
      <c r="E26" s="14" t="n">
        <v>49.744838</v>
      </c>
      <c r="F26" s="14" t="n">
        <v>102.534449</v>
      </c>
      <c r="G26" s="14" t="n">
        <v>17.879209</v>
      </c>
    </row>
    <row r="27">
      <c r="A27" s="13" t="inlineStr">
        <is>
          <t>2026-05</t>
        </is>
      </c>
      <c r="B27" s="14" t="n">
        <v>199268.55</v>
      </c>
      <c r="C27" s="14" t="n">
        <v>398811.89</v>
      </c>
      <c r="D27" s="14" t="n">
        <v>71420.37</v>
      </c>
      <c r="E27" s="14" t="n">
        <v>50.180949</v>
      </c>
      <c r="F27" s="14" t="n">
        <v>100.431098</v>
      </c>
      <c r="G27" s="14" t="n">
        <v>17.985487</v>
      </c>
    </row>
    <row r="28">
      <c r="A28" s="13" t="inlineStr">
        <is>
          <t>2026-06</t>
        </is>
      </c>
      <c r="B28" s="14" t="n">
        <v>191898.13</v>
      </c>
      <c r="C28" s="14" t="n">
        <v>393234.79</v>
      </c>
      <c r="D28" s="14" t="n">
        <v>69312.45</v>
      </c>
      <c r="E28" s="14" t="n">
        <v>49.804861</v>
      </c>
      <c r="F28" s="14" t="n">
        <v>102.05938</v>
      </c>
      <c r="G28" s="14" t="n">
        <v>17.989216</v>
      </c>
    </row>
    <row r="29">
      <c r="A29" s="13" t="inlineStr">
        <is>
          <t>2026-07</t>
        </is>
      </c>
      <c r="B29" s="14" t="n">
        <v>230282.96</v>
      </c>
      <c r="C29" s="14" t="n">
        <v>465022.32</v>
      </c>
      <c r="D29" s="14" t="n">
        <v>82030.55</v>
      </c>
      <c r="E29" s="14" t="n">
        <v>50.357087</v>
      </c>
      <c r="F29" s="14" t="n">
        <v>101.688677</v>
      </c>
      <c r="G29" s="14" t="n">
        <v>17.938017</v>
      </c>
    </row>
    <row r="30">
      <c r="A30" s="13" t="inlineStr">
        <is>
          <t>2026-08</t>
        </is>
      </c>
      <c r="B30" s="14" t="n">
        <v>218826.71</v>
      </c>
      <c r="C30" s="14" t="n">
        <v>456117.31</v>
      </c>
      <c r="D30" s="14" t="n">
        <v>78945.38</v>
      </c>
      <c r="E30" s="14" t="n">
        <v>49.92624</v>
      </c>
      <c r="F30" s="14" t="n">
        <v>104.065095</v>
      </c>
      <c r="G30" s="14" t="n">
        <v>18.011723</v>
      </c>
    </row>
    <row r="31">
      <c r="A31" s="13" t="inlineStr">
        <is>
          <t>2026-09</t>
        </is>
      </c>
      <c r="B31" s="14" t="n">
        <v>218276.4</v>
      </c>
      <c r="C31" s="14" t="n">
        <v>444152.48</v>
      </c>
      <c r="D31" s="14" t="n">
        <v>78886.72</v>
      </c>
      <c r="E31" s="14" t="n">
        <v>49.563215</v>
      </c>
      <c r="F31" s="14" t="n">
        <v>100.852062</v>
      </c>
      <c r="G31" s="14" t="n">
        <v>17.912516</v>
      </c>
    </row>
    <row r="32">
      <c r="A32" s="13" t="inlineStr">
        <is>
          <t>2026-10</t>
        </is>
      </c>
      <c r="B32" s="14" t="n">
        <v>225345.02</v>
      </c>
      <c r="C32" s="14" t="n">
        <v>461829.99</v>
      </c>
      <c r="D32" s="14" t="n">
        <v>82054.95</v>
      </c>
      <c r="E32" s="14" t="n">
        <v>49.559054</v>
      </c>
      <c r="F32" s="14" t="n">
        <v>101.568065</v>
      </c>
      <c r="G32" s="14" t="n">
        <v>18.045953</v>
      </c>
    </row>
    <row r="33">
      <c r="A33" s="13" t="inlineStr">
        <is>
          <t>2026-11</t>
        </is>
      </c>
      <c r="B33" s="14" t="n">
        <v>213344.18</v>
      </c>
      <c r="C33" s="14" t="n">
        <v>437513.9</v>
      </c>
      <c r="D33" s="14" t="n">
        <v>77937.59</v>
      </c>
      <c r="E33" s="14" t="n">
        <v>49.940117</v>
      </c>
      <c r="F33" s="14" t="n">
        <v>102.414302</v>
      </c>
      <c r="G33" s="14" t="n">
        <v>18.243818</v>
      </c>
    </row>
    <row r="34">
      <c r="A34" t="inlineStr">
        <is>
          <t>2026-12</t>
        </is>
      </c>
      <c r="B34" s="20" t="n">
        <v>220691.85</v>
      </c>
      <c r="C34" s="20" t="n">
        <v>442451.38</v>
      </c>
      <c r="D34" s="20" t="n">
        <v>78907.17999999999</v>
      </c>
      <c r="E34" s="20" t="n">
        <v>49.750192</v>
      </c>
      <c r="F34" s="20" t="n">
        <v>99.741069</v>
      </c>
      <c r="G34" s="20" t="n">
        <v>17.787913</v>
      </c>
    </row>
    <row r="35" ht="22" customHeight="1">
      <c r="A35" s="5" t="inlineStr">
        <is>
          <t>Interpretation</t>
        </is>
      </c>
    </row>
    <row r="36">
      <c r="A36" s="10" t="inlineStr">
        <is>
          <t>Delivery-related totals are higher in 2026, but per-delivery fee, commission and packaging values remain broadly stable. Therefore the available analysis does not show significant deterioration in per-order delivery economics. Delivery is treated as a monitoring area rather than the primary demonstrated cause of the margin gap.</t>
        </is>
      </c>
    </row>
    <row r="37"/>
    <row r="38"/>
  </sheetData>
  <mergeCells count="5">
    <mergeCell ref="A9:H9"/>
    <mergeCell ref="A3:H3"/>
    <mergeCell ref="A35:H35"/>
    <mergeCell ref="A1:H1"/>
    <mergeCell ref="A36:H38"/>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0"/>
  <sheetViews>
    <sheetView showGridLines="0" workbookViewId="0">
      <pane ySplit="3" topLeftCell="A4" activePane="bottomLeft" state="frozen"/>
      <selection pane="bottomLeft" activeCell="A1" sqref="A1"/>
    </sheetView>
  </sheetViews>
  <sheetFormatPr baseColWidth="8" defaultRowHeight="15"/>
  <cols>
    <col width="29" customWidth="1" min="1" max="1"/>
    <col width="38" customWidth="1" min="2" max="2"/>
    <col width="34" customWidth="1" min="3" max="3"/>
    <col width="42" customWidth="1" min="4" max="4"/>
    <col width="10" customWidth="1" min="5" max="5"/>
    <col width="34" customWidth="1" min="6" max="6"/>
  </cols>
  <sheetData>
    <row r="1" ht="30" customHeight="1">
      <c r="A1" s="1" t="inlineStr">
        <is>
          <t>Findings &amp; Recommendations</t>
        </is>
      </c>
    </row>
    <row r="2"/>
    <row r="3" ht="22" customHeight="1">
      <c r="A3" s="5" t="inlineStr">
        <is>
          <t>Evidence → Finding → Action</t>
        </is>
      </c>
    </row>
    <row r="4">
      <c r="A4" s="11" t="inlineStr">
        <is>
          <t>Area</t>
        </is>
      </c>
      <c r="B4" s="11" t="inlineStr">
        <is>
          <t>Evidence</t>
        </is>
      </c>
      <c r="C4" s="11" t="inlineStr">
        <is>
          <t>Finding</t>
        </is>
      </c>
      <c r="D4" s="11" t="inlineStr">
        <is>
          <t>Recommended action</t>
        </is>
      </c>
      <c r="E4" s="11" t="inlineStr">
        <is>
          <t>Priority</t>
        </is>
      </c>
      <c r="F4" s="11" t="inlineStr">
        <is>
          <t>Data needed for deeper action</t>
        </is>
      </c>
    </row>
    <row r="5">
      <c r="A5" s="13" t="inlineStr">
        <is>
          <t>Overall profitability</t>
        </is>
      </c>
      <c r="B5" s="13" t="inlineStr">
        <is>
          <t>18.55% calculated margin vs 25% target; total cost burden 81.45%.</t>
        </is>
      </c>
      <c r="C5" s="13" t="inlineStr">
        <is>
          <t>The business has a structural margin gap.</t>
        </is>
      </c>
      <c r="D5" s="13" t="inlineStr">
        <is>
          <t>Set cost-control workstreams around food cost and operating cost; track margin monthly.</t>
        </is>
      </c>
      <c r="E5" s="21" t="inlineStr">
        <is>
          <t>High</t>
        </is>
      </c>
      <c r="F5" s="13" t="inlineStr">
        <is>
          <t>Detailed cost drivers, budgets and operational ownership</t>
        </is>
      </c>
    </row>
    <row r="6">
      <c r="A6" s="13" t="inlineStr">
        <is>
          <t>Food cost</t>
        </is>
      </c>
      <c r="B6" s="13" t="inlineStr">
        <is>
          <t>44.03% of revenue overall; monthly percentage stays around 44%.</t>
        </is>
      </c>
      <c r="C6" s="13" t="inlineStr">
        <is>
          <t>Food cost is a large, persistent cost component but not visibly worsening as a % of revenue.</t>
        </is>
      </c>
      <c r="D6" s="13" t="inlineStr">
        <is>
          <t>Review recipe/BOM costs, supplier pricing, waste and portion controls before changing menu prices.</t>
        </is>
      </c>
      <c r="E6" s="21" t="inlineStr">
        <is>
          <t>High</t>
        </is>
      </c>
      <c r="F6" s="13" t="inlineStr">
        <is>
          <t>Ingredient prices, recipes/BOM, waste and portion data</t>
        </is>
      </c>
    </row>
    <row r="7">
      <c r="A7" s="13" t="inlineStr">
        <is>
          <t>Operating cost</t>
        </is>
      </c>
      <c r="B7" s="13" t="inlineStr">
        <is>
          <t>37.42% of revenue overall; monthly operating cost fluctuates materially.</t>
        </is>
      </c>
      <c r="C7" s="13" t="inlineStr">
        <is>
          <t>Operating costs consume a large share of revenue and contribute to the margin gap.</t>
        </is>
      </c>
      <c r="D7" s="13" t="inlineStr">
        <is>
          <t>Break operating costs into controllable vs fixed components and investigate major monthly spikes.</t>
        </is>
      </c>
      <c r="E7" s="21" t="inlineStr">
        <is>
          <t>High</t>
        </is>
      </c>
      <c r="F7" s="13" t="inlineStr">
        <is>
          <t>Salary/hours, rent, utilities, maintenance and vendor contracts</t>
        </is>
      </c>
    </row>
    <row r="8">
      <c r="A8" s="13" t="inlineStr">
        <is>
          <t>Product mix</t>
        </is>
      </c>
      <c r="B8" s="13" t="inlineStr">
        <is>
          <t>Combos = 23.45% revenue contribution and 52.59% margin, lowest category margin.</t>
        </is>
      </c>
      <c r="C8" s="13" t="inlineStr">
        <is>
          <t>Product-level margin variation creates a practical improvement area, especially within Combos.</t>
        </is>
      </c>
      <c r="D8" s="13" t="inlineStr">
        <is>
          <t>Review low-margin/high-volume products for pricing, recipe cost, portion and bundle economics.</t>
        </is>
      </c>
      <c r="E8" s="21" t="inlineStr">
        <is>
          <t>High</t>
        </is>
      </c>
      <c r="F8" s="13" t="inlineStr">
        <is>
          <t>Recipe-level costs, price history and promotion/bundle data</t>
        </is>
      </c>
    </row>
    <row r="9">
      <c r="A9" s="13" t="inlineStr">
        <is>
          <t>Discounts</t>
        </is>
      </c>
      <c r="B9" s="13" t="inlineStr">
        <is>
          <t>Discount rate stays around 8.7%.</t>
        </is>
      </c>
      <c r="C9" s="13" t="inlineStr">
        <is>
          <t>No major change in discount intensity is evident from the current data.</t>
        </is>
      </c>
      <c r="D9" s="13" t="inlineStr">
        <is>
          <t>Monitor discount effectiveness; compare incremental sales/profit by promotion before changing discount policy.</t>
        </is>
      </c>
      <c r="E9" s="22" t="inlineStr">
        <is>
          <t>Medium</t>
        </is>
      </c>
      <c r="F9" s="13" t="inlineStr">
        <is>
          <t>Promotion-level sales and margin impact</t>
        </is>
      </c>
    </row>
    <row r="10">
      <c r="A10" s="13" t="inlineStr">
        <is>
          <t>Delivery</t>
        </is>
      </c>
      <c r="B10" s="13" t="inlineStr">
        <is>
          <t>Per-delivery fee/commission/packaging values broadly stable; status: 94,005 delivered, 3,995 failed, 2,000 returned.</t>
        </is>
      </c>
      <c r="C10" s="13" t="inlineStr">
        <is>
          <t>Higher delivery totals mainly accompany higher delivery activity in the available analysis.</t>
        </is>
      </c>
      <c r="D10" s="13" t="inlineStr">
        <is>
          <t>Continue monitoring per-order economics and failed/returned orders; do not treat delivery as the demonstrated primary cause.</t>
        </is>
      </c>
      <c r="E10" s="22" t="inlineStr">
        <is>
          <t>Medium</t>
        </is>
      </c>
      <c r="F10" s="13" t="inlineStr">
        <is>
          <t>Delivery revenue/commission contracts and order-level accounting treatment</t>
        </is>
      </c>
    </row>
  </sheetData>
  <mergeCells count="2">
    <mergeCell ref="A3:F3"/>
    <mergeCell ref="A1:F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8"/>
  <sheetViews>
    <sheetView showGridLines="0" workbookViewId="0">
      <pane ySplit="3" topLeftCell="A4" activePane="bottomLeft" state="frozen"/>
      <selection pane="bottomLeft" activeCell="A1" sqref="A1"/>
    </sheetView>
  </sheetViews>
  <sheetFormatPr baseColWidth="8" defaultRowHeight="15"/>
  <cols>
    <col width="30" customWidth="1" min="1" max="1"/>
    <col width="55" customWidth="1" min="2" max="2"/>
    <col width="32" customWidth="1" min="3" max="3"/>
    <col width="32" customWidth="1" min="4" max="4"/>
    <col width="10" customWidth="1" min="5" max="5"/>
  </cols>
  <sheetData>
    <row r="1" ht="30" customHeight="1">
      <c r="A1" s="1" t="inlineStr">
        <is>
          <t>Data Quality &amp; Limitations</t>
        </is>
      </c>
    </row>
    <row r="2"/>
    <row r="3" ht="22" customHeight="1">
      <c r="A3" s="5" t="inlineStr">
        <is>
          <t>Observed data-quality points</t>
        </is>
      </c>
    </row>
    <row r="4">
      <c r="A4" s="11" t="inlineStr">
        <is>
          <t>Area</t>
        </is>
      </c>
      <c r="B4" s="11" t="inlineStr">
        <is>
          <t>Observation</t>
        </is>
      </c>
      <c r="C4" s="11" t="inlineStr">
        <is>
          <t>Treatment in analysis</t>
        </is>
      </c>
      <c r="D4" s="11" t="inlineStr">
        <is>
          <t>Impact / limitation</t>
        </is>
      </c>
      <c r="E4" s="12" t="inlineStr"/>
    </row>
    <row r="5">
      <c r="A5" s="13" t="inlineStr">
        <is>
          <t>Order status</t>
        </is>
      </c>
      <c r="B5" s="13" t="inlineStr">
        <is>
          <t>166,416 Completed; 8,060 Cancelled; 5,524 Refunded.</t>
        </is>
      </c>
      <c r="C5" s="13" t="inlineStr">
        <is>
          <t>Revenue/profitability analysis uses Completed orders.</t>
        </is>
      </c>
      <c r="D5" s="13" t="inlineStr">
        <is>
          <t>Cancelled/refunded orders are excluded from completed-order revenue.</t>
        </is>
      </c>
    </row>
    <row r="6">
      <c r="A6" s="13" t="inlineStr">
        <is>
          <t>Order items</t>
        </is>
      </c>
      <c r="B6" s="13" t="inlineStr">
        <is>
          <t>376,701 rows vs 376,700 unique order_item_id; one duplicate ID observed.</t>
        </is>
      </c>
      <c r="C6" s="13" t="inlineStr">
        <is>
          <t>Observed during profiling; not blindly deleted.</t>
        </is>
      </c>
      <c r="D6" s="13" t="inlineStr">
        <is>
          <t>Requires business confirmation if duplicate represents a true duplicate transaction.</t>
        </is>
      </c>
    </row>
    <row r="7">
      <c r="A7" s="13" t="inlineStr">
        <is>
          <t>Product category</t>
        </is>
      </c>
      <c r="B7" s="13" t="inlineStr">
        <is>
          <t>Category casing varies (e.g., Burgers/BURGERS; Combos variants).</t>
        </is>
      </c>
      <c r="C7" s="13" t="inlineStr">
        <is>
          <t>Standardized with strip + title for category analysis.</t>
        </is>
      </c>
      <c r="D7" s="13" t="inlineStr">
        <is>
          <t>Without standardization, category totals would split across labels.</t>
        </is>
      </c>
    </row>
    <row r="8">
      <c r="A8" s="13" t="inlineStr">
        <is>
          <t>Delivery packaging cost</t>
        </is>
      </c>
      <c r="B8" s="13" t="inlineStr">
        <is>
          <t>250 NULL packaging_cost values in 100,000 delivery records.</t>
        </is>
      </c>
      <c r="C8" s="13" t="inlineStr">
        <is>
          <t>NULLs were not blindly filled.</t>
        </is>
      </c>
      <c r="D8" s="13" t="inlineStr">
        <is>
          <t>Packaging cost is incomplete for a subset of delivery records.</t>
        </is>
      </c>
    </row>
    <row r="9">
      <c r="A9" s="13" t="inlineStr">
        <is>
          <t>Order channel</t>
        </is>
      </c>
      <c r="B9" s="13" t="inlineStr">
        <is>
          <t>Delivery/delivery/DELIVERY and Dine-in variants observed.</t>
        </is>
      </c>
      <c r="C9" s="13" t="inlineStr">
        <is>
          <t>Observed during profiling; not central to final profitability calculation.</t>
        </is>
      </c>
      <c r="D9" s="13" t="inlineStr">
        <is>
          <t>Channel analysis would require standardization if used for deeper comparisons.</t>
        </is>
      </c>
    </row>
    <row r="10">
      <c r="A10" s="13" t="inlineStr">
        <is>
          <t>Delivery accounting</t>
        </is>
      </c>
      <c r="B10" s="13" t="inlineStr">
        <is>
          <t>Delivery fee, commission and packaging are available separately.</t>
        </is>
      </c>
      <c r="C10" s="13" t="inlineStr">
        <is>
          <t>Kept separate from overall profit calculation.</t>
        </is>
      </c>
      <c r="D10" s="13" t="inlineStr">
        <is>
          <t>Accounting treatment was not established from available data.</t>
        </is>
      </c>
    </row>
    <row r="11"/>
    <row r="12"/>
    <row r="13" ht="22" customHeight="1">
      <c r="A13" s="5" t="inlineStr">
        <is>
          <t>Analytical limitations</t>
        </is>
      </c>
    </row>
    <row r="14">
      <c r="A14" t="inlineStr">
        <is>
          <t>•</t>
        </is>
      </c>
      <c r="B14" s="9" t="inlineStr">
        <is>
          <t>Overall calculated profit is not presented as audited/net accounting profit; it is the project-defined revenue less food cost less operating cost.</t>
        </is>
      </c>
    </row>
    <row r="15">
      <c r="A15" t="inlineStr">
        <is>
          <t>•</t>
        </is>
      </c>
      <c r="B15" s="9" t="inlineStr">
        <is>
          <t>Product profitability is product-level gross profit before allocated operating and delivery costs.</t>
        </is>
      </c>
    </row>
    <row r="16">
      <c r="A16" t="inlineStr">
        <is>
          <t>•</t>
        </is>
      </c>
      <c r="B16" s="9" t="inlineStr">
        <is>
          <t>Exact savings required to reach 25% margin cannot be assigned to individual levers from the current dataset.</t>
        </is>
      </c>
    </row>
    <row r="17">
      <c r="A17" t="inlineStr">
        <is>
          <t>•</t>
        </is>
      </c>
      <c r="B17" s="9" t="inlineStr">
        <is>
          <t>2027-01 operating-cost data exists in the source but is outside the project period and is excluded from monthly conclusions.</t>
        </is>
      </c>
    </row>
    <row r="18">
      <c r="A18" t="inlineStr">
        <is>
          <t>•</t>
        </is>
      </c>
      <c r="B18" s="9" t="inlineStr">
        <is>
          <t>Branch-level root-cause analysis was not used as a primary conclusion because the available analysis did not establish that branch performance explains the overall margin gap.</t>
        </is>
      </c>
    </row>
  </sheetData>
  <mergeCells count="8">
    <mergeCell ref="B17:E17"/>
    <mergeCell ref="B18:E18"/>
    <mergeCell ref="B16:E16"/>
    <mergeCell ref="B15:E15"/>
    <mergeCell ref="A1:E1"/>
    <mergeCell ref="A13:E13"/>
    <mergeCell ref="B14:E14"/>
    <mergeCell ref="A3:E3"/>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2026-09-27T11:53:40Z</dcterms:created>
  <dcterms:modified xmlns:dcterms="http://purl.org/dc/terms/" xmlns:xsi="http://www.w3.org/2001/XMLSchema-instance" xsi:type="dcterms:W3CDTF">2026-09-27T11:53:40Z</dcterms:modified>
</cp:coreProperties>
</file>